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tempu\Arousal-Project\splitting_sample\larger_sample\"/>
    </mc:Choice>
  </mc:AlternateContent>
  <xr:revisionPtr revIDLastSave="0" documentId="13_ncr:1_{EFAB85D0-A222-4B9E-83AB-1C39FFF3357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2" i="1" l="1"/>
  <c r="N2" i="1" s="1"/>
  <c r="J132" i="1"/>
  <c r="K132" i="1"/>
  <c r="P11" i="1"/>
  <c r="N8" i="1"/>
  <c r="Q8" i="1"/>
  <c r="Q7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2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/>
  <c r="I2" i="1"/>
  <c r="N5" i="1" l="1"/>
  <c r="Q6" i="1"/>
  <c r="Q5" i="1" s="1"/>
  <c r="N4" i="1"/>
  <c r="N7" i="1" s="1"/>
  <c r="N6" i="1"/>
  <c r="Q3" i="1" a="1"/>
  <c r="Q2" i="1"/>
  <c r="N3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<sst xmlns="http://schemas.openxmlformats.org/spreadsheetml/2006/main" count="1106" uniqueCount="187">
  <si>
    <t>SubID</t>
  </si>
  <si>
    <t>Sex</t>
  </si>
  <si>
    <t xml:space="preserve">Age </t>
  </si>
  <si>
    <t xml:space="preserve">Ethnicity </t>
  </si>
  <si>
    <t>Race</t>
  </si>
  <si>
    <t>Education</t>
  </si>
  <si>
    <t>Language</t>
  </si>
  <si>
    <t>Handedness</t>
  </si>
  <si>
    <t>INET001</t>
  </si>
  <si>
    <t>M</t>
  </si>
  <si>
    <t>Not H/L</t>
  </si>
  <si>
    <t>White</t>
  </si>
  <si>
    <t>Master's degree</t>
  </si>
  <si>
    <t>English</t>
  </si>
  <si>
    <t>Right</t>
  </si>
  <si>
    <t>INET002</t>
  </si>
  <si>
    <t>F</t>
  </si>
  <si>
    <t xml:space="preserve">Doctorate </t>
  </si>
  <si>
    <t>INET003</t>
  </si>
  <si>
    <t>INET004</t>
  </si>
  <si>
    <t>Bachelor's degree</t>
  </si>
  <si>
    <t>INET005</t>
  </si>
  <si>
    <t xml:space="preserve">English/Serbian </t>
  </si>
  <si>
    <t>INET006</t>
  </si>
  <si>
    <t>INET007</t>
  </si>
  <si>
    <t>Black</t>
  </si>
  <si>
    <t>INET008</t>
  </si>
  <si>
    <t>INET009</t>
  </si>
  <si>
    <t xml:space="preserve">Some college </t>
  </si>
  <si>
    <t>INET010</t>
  </si>
  <si>
    <t>H/L</t>
  </si>
  <si>
    <t>Native/White</t>
  </si>
  <si>
    <t>English/Spanish</t>
  </si>
  <si>
    <t>INET011</t>
  </si>
  <si>
    <t>INET012</t>
  </si>
  <si>
    <t>Asian</t>
  </si>
  <si>
    <t>INET013</t>
  </si>
  <si>
    <t>INET014</t>
  </si>
  <si>
    <t>High School</t>
  </si>
  <si>
    <t>INET015</t>
  </si>
  <si>
    <t>INET016</t>
  </si>
  <si>
    <t>INET017</t>
  </si>
  <si>
    <t>INET018</t>
  </si>
  <si>
    <t>INET019</t>
  </si>
  <si>
    <t>English/Hindi</t>
  </si>
  <si>
    <t>INET020</t>
  </si>
  <si>
    <t>INET021</t>
  </si>
  <si>
    <t>INET022</t>
  </si>
  <si>
    <t>INET023</t>
  </si>
  <si>
    <t>INET024</t>
  </si>
  <si>
    <t>Black/White</t>
  </si>
  <si>
    <t>INET025</t>
  </si>
  <si>
    <t>INET026</t>
  </si>
  <si>
    <t>INET027</t>
  </si>
  <si>
    <t>INET028</t>
  </si>
  <si>
    <t>INET029</t>
  </si>
  <si>
    <t>INET030</t>
  </si>
  <si>
    <t>Native</t>
  </si>
  <si>
    <t>INET031</t>
  </si>
  <si>
    <t>INET032</t>
  </si>
  <si>
    <t>INET033</t>
  </si>
  <si>
    <t>INET034</t>
  </si>
  <si>
    <t>INET035</t>
  </si>
  <si>
    <t>INET036</t>
  </si>
  <si>
    <t>INET037</t>
  </si>
  <si>
    <t>INET038</t>
  </si>
  <si>
    <t>INET039</t>
  </si>
  <si>
    <t>INET040</t>
  </si>
  <si>
    <t>INET041</t>
  </si>
  <si>
    <t>INET042</t>
  </si>
  <si>
    <t>INET043</t>
  </si>
  <si>
    <t>INET044</t>
  </si>
  <si>
    <t>INET045</t>
  </si>
  <si>
    <t>INET046</t>
  </si>
  <si>
    <t>INET047</t>
  </si>
  <si>
    <t>INET048</t>
  </si>
  <si>
    <t>White/Other</t>
  </si>
  <si>
    <t>INET049</t>
  </si>
  <si>
    <t>INET050</t>
  </si>
  <si>
    <t>INET051</t>
  </si>
  <si>
    <t>INET052</t>
  </si>
  <si>
    <t>INET053</t>
  </si>
  <si>
    <t>INET054</t>
  </si>
  <si>
    <t>INET055</t>
  </si>
  <si>
    <t>INET056</t>
  </si>
  <si>
    <t>INET057</t>
  </si>
  <si>
    <t>INET058</t>
  </si>
  <si>
    <t>INET059</t>
  </si>
  <si>
    <t>INET060</t>
  </si>
  <si>
    <t>INET061</t>
  </si>
  <si>
    <t>INET062</t>
  </si>
  <si>
    <t>White/Asian</t>
  </si>
  <si>
    <t>INET063</t>
  </si>
  <si>
    <t>INET065</t>
  </si>
  <si>
    <t>Left</t>
  </si>
  <si>
    <t>INET066</t>
  </si>
  <si>
    <t>INET067</t>
  </si>
  <si>
    <t>INET068</t>
  </si>
  <si>
    <t>INET069</t>
  </si>
  <si>
    <t>INET070</t>
  </si>
  <si>
    <t>INET071</t>
  </si>
  <si>
    <t>INET072</t>
  </si>
  <si>
    <t>INET073</t>
  </si>
  <si>
    <t>INET074</t>
  </si>
  <si>
    <t>INET075</t>
  </si>
  <si>
    <t>INET076</t>
  </si>
  <si>
    <t>High school graduate/GED</t>
  </si>
  <si>
    <t>INET077</t>
  </si>
  <si>
    <t>Some college</t>
  </si>
  <si>
    <t>INET078</t>
  </si>
  <si>
    <t>INET079</t>
  </si>
  <si>
    <t>INET080</t>
  </si>
  <si>
    <t>2 year degree (Associate's degree)</t>
  </si>
  <si>
    <t>English/Urdu</t>
  </si>
  <si>
    <t>INET081</t>
  </si>
  <si>
    <t>INET082</t>
  </si>
  <si>
    <t>INET083</t>
  </si>
  <si>
    <t>INET084</t>
  </si>
  <si>
    <t>INET085</t>
  </si>
  <si>
    <t>Black/Asian</t>
  </si>
  <si>
    <t>INET086</t>
  </si>
  <si>
    <t>INET087</t>
  </si>
  <si>
    <t>INET088</t>
  </si>
  <si>
    <t>English/Kreyol</t>
  </si>
  <si>
    <t>INET089</t>
  </si>
  <si>
    <t>American Indian</t>
  </si>
  <si>
    <t>INET090</t>
  </si>
  <si>
    <t>INET091</t>
  </si>
  <si>
    <t>INET092</t>
  </si>
  <si>
    <t>INET093</t>
  </si>
  <si>
    <t>Professional/Master's degree</t>
  </si>
  <si>
    <t>INET094</t>
  </si>
  <si>
    <t>4 year degree (Bachelorís degree)</t>
  </si>
  <si>
    <t>INET095</t>
  </si>
  <si>
    <t>INET096</t>
  </si>
  <si>
    <t>INET097</t>
  </si>
  <si>
    <t>INET098</t>
  </si>
  <si>
    <t>INET099</t>
  </si>
  <si>
    <t>INET100</t>
  </si>
  <si>
    <t>INET101</t>
  </si>
  <si>
    <t>English/Haitian creole</t>
  </si>
  <si>
    <t>INET102</t>
  </si>
  <si>
    <t>INET103</t>
  </si>
  <si>
    <t>INET104</t>
  </si>
  <si>
    <t>INET105</t>
  </si>
  <si>
    <t>INET106</t>
  </si>
  <si>
    <t>INET107</t>
  </si>
  <si>
    <t>INET108</t>
  </si>
  <si>
    <t>INET109</t>
  </si>
  <si>
    <t>INET110</t>
  </si>
  <si>
    <t>INET111</t>
  </si>
  <si>
    <t>INET112</t>
  </si>
  <si>
    <t>INET113</t>
  </si>
  <si>
    <t>INET114</t>
  </si>
  <si>
    <t>INET115</t>
  </si>
  <si>
    <t>INET116</t>
  </si>
  <si>
    <t>INET120</t>
  </si>
  <si>
    <t>INET123</t>
  </si>
  <si>
    <t>INET131</t>
  </si>
  <si>
    <t>INET133</t>
  </si>
  <si>
    <t>INET136</t>
  </si>
  <si>
    <t>INET137</t>
  </si>
  <si>
    <t>INET140</t>
  </si>
  <si>
    <t>INET141</t>
  </si>
  <si>
    <t>INET143</t>
  </si>
  <si>
    <t>INET156</t>
  </si>
  <si>
    <t>INET158</t>
  </si>
  <si>
    <t>INET159</t>
  </si>
  <si>
    <t>INET160</t>
  </si>
  <si>
    <t>INET165</t>
  </si>
  <si>
    <t>INET168</t>
  </si>
  <si>
    <t>American Indian or Alaskan Native</t>
  </si>
  <si>
    <t>within_subs</t>
  </si>
  <si>
    <t>is_precision</t>
  </si>
  <si>
    <t>num F</t>
  </si>
  <si>
    <t>avr age</t>
  </si>
  <si>
    <t>stdev age</t>
  </si>
  <si>
    <t>between_subs</t>
  </si>
  <si>
    <t>is_group</t>
  </si>
  <si>
    <t>count</t>
  </si>
  <si>
    <t>count_sleepy</t>
  </si>
  <si>
    <t>count_awake</t>
  </si>
  <si>
    <t>is_sleepy</t>
  </si>
  <si>
    <t>perc_F</t>
  </si>
  <si>
    <t>num_F</t>
  </si>
  <si>
    <t>awake_subj</t>
  </si>
  <si>
    <t>PM01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</si>
</sst>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sz val="12"/>
      <name val="Aptos Narrow"/>
      <family val="2"/>
    </font>
    <font>
      <sz val="10"/>
      <name val="Helvetica Neue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4" fillId="0" borderId="0" xfId="0" applyFont="1"/>
    <xf numFmtId="0" fontId="1" fillId="0" borderId="1" xfId="0" applyFont="1" applyBorder="1"/>
    <xf numFmtId="0" fontId="4" fillId="0" borderId="1" xfId="0" applyFont="1" applyBorder="1"/>
    <xf numFmtId="0" fontId="5" fillId="0" borderId="0" xfId="0" applyFont="1"/>
    <xf numFmtId="0" fontId="5" fillId="0" borderId="0" xfId="0" applyFont="1" applyAlignment="1">
      <alignment horizontal="left" vertical="center"/>
    </xf>
    <xf numFmtId="0" fontId="6" fillId="0" borderId="0" xfId="0" applyFont="1"/>
    <xf numFmtId="0" fontId="4" fillId="0" borderId="2" xfId="0" applyFont="1" applyBorder="1"/>
    <xf numFmtId="0" fontId="0" fillId="0" borderId="2" xfId="0" applyBorder="1"/>
    <xf numFmtId="0" fontId="4" fillId="0" borderId="3" xfId="0" applyFont="1" applyBorder="1"/>
    <xf numFmtId="0" fontId="4" fillId="0" borderId="4" xfId="0" applyFont="1" applyBorder="1"/>
    <xf numFmtId="0" fontId="0" fillId="0" borderId="5" xfId="0" applyBorder="1"/>
    <xf numFmtId="0" fontId="3" fillId="0" borderId="6" xfId="0" applyFont="1" applyBorder="1"/>
    <xf numFmtId="0" fontId="7" fillId="0" borderId="6" xfId="0" applyFont="1" applyBorder="1"/>
    <xf numFmtId="0" fontId="2" fillId="0" borderId="6" xfId="0" applyFont="1" applyBorder="1"/>
    <xf numFmtId="0" fontId="7" fillId="0" borderId="7" xfId="0" applyFont="1" applyBorder="1"/>
    <xf numFmtId="0" fontId="3" fillId="0" borderId="0" xfId="0" applyFont="1"/>
    <xf numFmtId="0" fontId="3" fillId="0" borderId="1" xfId="0" applyFont="1" applyBorder="1"/>
    <xf numFmtId="0" fontId="4" fillId="0" borderId="0" xfId="0" applyFont="1" applyBorder="1"/>
    <xf numFmtId="0" fontId="0" fillId="0" borderId="0" xfId="0" applyBorder="1"/>
    <xf numFmtId="0" fontId="0" fillId="0" borderId="8" xfId="0" applyBorder="1"/>
    <xf numFmtId="0" fontId="7" fillId="0" borderId="9" xfId="0" applyFont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2"/>
  <sheetViews>
    <sheetView tabSelected="1" topLeftCell="F1" workbookViewId="0">
      <selection activeCell="J132" sqref="J132"/>
    </sheetView>
  </sheetViews>
  <sheetFormatPr defaultRowHeight="14.5"/>
  <cols>
    <col min="1" max="1" width="8.26953125" style="2" bestFit="1" customWidth="1"/>
    <col min="2" max="2" width="3.90625" style="2" bestFit="1" customWidth="1"/>
    <col min="3" max="3" width="4.7265625" style="2" bestFit="1" customWidth="1"/>
    <col min="4" max="4" width="9.1796875" style="2" bestFit="1" customWidth="1"/>
    <col min="5" max="5" width="32.1796875" style="2" bestFit="1" customWidth="1"/>
    <col min="6" max="6" width="30.90625" style="2" bestFit="1" customWidth="1"/>
    <col min="7" max="7" width="20.7265625" style="2" bestFit="1" customWidth="1"/>
    <col min="8" max="8" width="11.08984375" style="2" bestFit="1" customWidth="1"/>
    <col min="9" max="9" width="10.6328125" style="2" bestFit="1" customWidth="1"/>
    <col min="10" max="10" width="8" style="19" bestFit="1" customWidth="1"/>
    <col min="11" max="11" width="8.7265625" style="9"/>
    <col min="12" max="12" width="10.90625" bestFit="1" customWidth="1"/>
    <col min="13" max="13" width="11.90625" style="2" bestFit="1" customWidth="1"/>
    <col min="14" max="14" width="11.81640625" style="8" bestFit="1" customWidth="1"/>
    <col min="15" max="15" width="13.08984375" style="2" bestFit="1" customWidth="1"/>
    <col min="16" max="16" width="11.90625" style="2" bestFit="1" customWidth="1"/>
    <col min="17" max="17" width="11.81640625" style="2" bestFit="1" customWidth="1"/>
    <col min="18" max="18" width="8.7265625" style="10"/>
    <col min="19" max="16384" width="8.7265625" style="2"/>
  </cols>
  <sheetData>
    <row r="1" spans="1:18" s="14" customFormat="1" ht="16" thickBo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  <c r="I1" s="14" t="s">
        <v>173</v>
      </c>
      <c r="J1" s="14" t="s">
        <v>178</v>
      </c>
      <c r="K1" s="16" t="s">
        <v>182</v>
      </c>
      <c r="L1" s="14" t="s">
        <v>172</v>
      </c>
      <c r="M1" s="15"/>
      <c r="N1" s="16"/>
      <c r="O1" s="14" t="s">
        <v>177</v>
      </c>
      <c r="R1" s="22" t="s">
        <v>185</v>
      </c>
    </row>
    <row r="2" spans="1:18" ht="15.5">
      <c r="A2" s="17" t="s">
        <v>8</v>
      </c>
      <c r="B2" s="1" t="s">
        <v>9</v>
      </c>
      <c r="C2" s="1">
        <v>29</v>
      </c>
      <c r="D2" s="1" t="s">
        <v>10</v>
      </c>
      <c r="E2" s="1" t="s">
        <v>11</v>
      </c>
      <c r="F2" s="1" t="s">
        <v>12</v>
      </c>
      <c r="G2" s="1" t="s">
        <v>13</v>
      </c>
      <c r="H2" s="2" t="s">
        <v>14</v>
      </c>
      <c r="I2" s="2" t="b">
        <f>COUNTIF($L$2:$L$18, A2)&gt;0</f>
        <v>0</v>
      </c>
      <c r="J2" s="19" t="b">
        <f>COUNTIF($O$2:$O$95, A2)&gt;0</f>
        <v>1</v>
      </c>
      <c r="K2" s="9" t="b">
        <f>COUNTIF($R:$R, A2)&gt;0</f>
        <v>1</v>
      </c>
      <c r="L2" t="s">
        <v>40</v>
      </c>
      <c r="M2" s="10" t="s">
        <v>175</v>
      </c>
      <c r="N2" s="9">
        <f>AVERAGEIF(I:I, TRUE, C:C)</f>
        <v>23.5</v>
      </c>
      <c r="O2" t="s">
        <v>8</v>
      </c>
      <c r="P2" s="10" t="s">
        <v>175</v>
      </c>
      <c r="Q2" s="20">
        <f>AVERAGEIF(J2:J1000, TRUE, C2:C1000)</f>
        <v>23.627659574468087</v>
      </c>
      <c r="R2" s="10" t="s">
        <v>8</v>
      </c>
    </row>
    <row r="3" spans="1:18" ht="15.5">
      <c r="A3" s="17" t="s">
        <v>15</v>
      </c>
      <c r="B3" s="1" t="s">
        <v>16</v>
      </c>
      <c r="C3" s="1">
        <v>28</v>
      </c>
      <c r="D3" s="1" t="s">
        <v>10</v>
      </c>
      <c r="E3" s="1" t="s">
        <v>11</v>
      </c>
      <c r="F3" s="1" t="s">
        <v>17</v>
      </c>
      <c r="G3" s="1" t="s">
        <v>13</v>
      </c>
      <c r="H3" s="2" t="s">
        <v>14</v>
      </c>
      <c r="I3" s="2" t="b">
        <f>COUNTIF($L$2:$L$18, A3)&gt;0</f>
        <v>0</v>
      </c>
      <c r="J3" s="19" t="b">
        <f>COUNTIF($O$2:$O$95, A3)&gt;0</f>
        <v>1</v>
      </c>
      <c r="K3" s="9" t="b">
        <f>COUNTIF($R:$R, A3)&gt;0</f>
        <v>1</v>
      </c>
      <c r="L3" t="s">
        <v>52</v>
      </c>
      <c r="M3" s="10" t="s">
        <v>176</v>
      </c>
      <c r="N3" s="9" cm="1">
        <f t="array" ref="N3">_xlfn.STDEV.S(_xlfn._xlws.FILTER(C2:C500, I2:I500=TRUE))</f>
        <v>3.4170851011110761</v>
      </c>
      <c r="O3" t="s">
        <v>15</v>
      </c>
      <c r="P3" s="10" t="s">
        <v>176</v>
      </c>
      <c r="Q3" s="20" cm="1">
        <f t="array" ref="Q3">_xlfn.STDEV.S(_xlfn._xlws.FILTER(C2:C500, J2:J500=TRUE))</f>
        <v>3.6982531259960552</v>
      </c>
      <c r="R3" s="10" t="s">
        <v>15</v>
      </c>
    </row>
    <row r="4" spans="1:18" ht="15.5">
      <c r="A4" s="17" t="s">
        <v>18</v>
      </c>
      <c r="B4" s="1" t="s">
        <v>9</v>
      </c>
      <c r="C4" s="1">
        <v>26</v>
      </c>
      <c r="D4" s="1" t="s">
        <v>10</v>
      </c>
      <c r="E4" s="1" t="s">
        <v>11</v>
      </c>
      <c r="F4" s="1" t="s">
        <v>12</v>
      </c>
      <c r="G4" s="1" t="s">
        <v>13</v>
      </c>
      <c r="H4" s="2" t="s">
        <v>14</v>
      </c>
      <c r="I4" s="2" t="b">
        <f>COUNTIF($L$2:$L$18, A4)&gt;0</f>
        <v>0</v>
      </c>
      <c r="J4" s="19" t="b">
        <f>COUNTIF($O$2:$O$95, A4)&gt;0</f>
        <v>1</v>
      </c>
      <c r="K4" s="9" t="b">
        <f>COUNTIF($R:$R, A4)&gt;0</f>
        <v>1</v>
      </c>
      <c r="L4" t="s">
        <v>59</v>
      </c>
      <c r="M4" s="10" t="s">
        <v>179</v>
      </c>
      <c r="N4" s="9">
        <f>COUNTIF(I:I, TRUE)</f>
        <v>18</v>
      </c>
      <c r="O4" t="s">
        <v>18</v>
      </c>
      <c r="P4" s="10" t="s">
        <v>179</v>
      </c>
      <c r="Q4" s="20">
        <v>146</v>
      </c>
      <c r="R4" s="10" t="s">
        <v>18</v>
      </c>
    </row>
    <row r="5" spans="1:18" ht="15.5">
      <c r="A5" s="17" t="s">
        <v>19</v>
      </c>
      <c r="B5" s="1" t="s">
        <v>9</v>
      </c>
      <c r="C5" s="1">
        <v>24</v>
      </c>
      <c r="D5" s="1" t="s">
        <v>10</v>
      </c>
      <c r="E5" s="1" t="s">
        <v>11</v>
      </c>
      <c r="F5" s="1" t="s">
        <v>20</v>
      </c>
      <c r="G5" s="1" t="s">
        <v>13</v>
      </c>
      <c r="H5" s="2" t="s">
        <v>14</v>
      </c>
      <c r="I5" s="2" t="b">
        <f>COUNTIF($L$2:$L$18, A5)&gt;0</f>
        <v>0</v>
      </c>
      <c r="J5" s="19" t="b">
        <f>COUNTIF($O$2:$O$95, A5)&gt;0</f>
        <v>0</v>
      </c>
      <c r="K5" s="9" t="b">
        <f>COUNTIF($R:$R, A5)&gt;0</f>
        <v>0</v>
      </c>
      <c r="L5" t="s">
        <v>63</v>
      </c>
      <c r="M5" s="10" t="s">
        <v>180</v>
      </c>
      <c r="N5" s="9">
        <f>COUNTIF(I:I, TRUE)</f>
        <v>18</v>
      </c>
      <c r="O5" t="s">
        <v>21</v>
      </c>
      <c r="P5" s="10" t="s">
        <v>180</v>
      </c>
      <c r="Q5" s="20">
        <f>Q4 - Q6</f>
        <v>52</v>
      </c>
      <c r="R5" s="10" t="s">
        <v>21</v>
      </c>
    </row>
    <row r="6" spans="1:18" ht="15.5">
      <c r="A6" s="17" t="s">
        <v>21</v>
      </c>
      <c r="B6" s="1" t="s">
        <v>16</v>
      </c>
      <c r="C6" s="1">
        <v>30</v>
      </c>
      <c r="D6" s="1" t="s">
        <v>10</v>
      </c>
      <c r="E6" s="1" t="s">
        <v>11</v>
      </c>
      <c r="F6" s="1" t="s">
        <v>12</v>
      </c>
      <c r="G6" s="1" t="s">
        <v>22</v>
      </c>
      <c r="H6" s="2" t="s">
        <v>14</v>
      </c>
      <c r="I6" s="2" t="b">
        <f>COUNTIF($L$2:$L$18, A6)&gt;0</f>
        <v>0</v>
      </c>
      <c r="J6" s="19" t="b">
        <f>COUNTIF($O$2:$O$95, A6)&gt;0</f>
        <v>1</v>
      </c>
      <c r="K6" s="9" t="b">
        <f>COUNTIF($R:$R, A6)&gt;0</f>
        <v>1</v>
      </c>
      <c r="L6" t="s">
        <v>73</v>
      </c>
      <c r="M6" s="10" t="s">
        <v>181</v>
      </c>
      <c r="N6" s="9">
        <f>COUNTIF(I:I, TRUE)</f>
        <v>18</v>
      </c>
      <c r="O6" t="s">
        <v>23</v>
      </c>
      <c r="P6" s="10" t="s">
        <v>181</v>
      </c>
      <c r="Q6" s="20">
        <f>COUNTIF(J:J, TRUE)</f>
        <v>94</v>
      </c>
      <c r="R6" s="10" t="s">
        <v>23</v>
      </c>
    </row>
    <row r="7" spans="1:18" ht="15.5">
      <c r="A7" s="17" t="s">
        <v>23</v>
      </c>
      <c r="B7" s="1" t="s">
        <v>9</v>
      </c>
      <c r="C7" s="1">
        <v>27</v>
      </c>
      <c r="D7" s="1" t="s">
        <v>10</v>
      </c>
      <c r="E7" s="1" t="s">
        <v>11</v>
      </c>
      <c r="F7" s="1" t="s">
        <v>20</v>
      </c>
      <c r="G7" s="1" t="s">
        <v>13</v>
      </c>
      <c r="H7" s="2" t="s">
        <v>14</v>
      </c>
      <c r="I7" s="2" t="b">
        <f>COUNTIF($L$2:$L$18, A7)&gt;0</f>
        <v>0</v>
      </c>
      <c r="J7" s="19" t="b">
        <f>COUNTIF($O$2:$O$95, A7)&gt;0</f>
        <v>1</v>
      </c>
      <c r="K7" s="9" t="b">
        <f>COUNTIF($R:$R, A7)&gt;0</f>
        <v>1</v>
      </c>
      <c r="L7" t="s">
        <v>86</v>
      </c>
      <c r="M7" s="10" t="s">
        <v>183</v>
      </c>
      <c r="N7" s="9">
        <f>N8 / N4</f>
        <v>0.55555555555555558</v>
      </c>
      <c r="O7" t="s">
        <v>29</v>
      </c>
      <c r="P7" s="10" t="s">
        <v>183</v>
      </c>
      <c r="Q7" s="20">
        <f>Q8/Q4</f>
        <v>0.33561643835616439</v>
      </c>
      <c r="R7" s="10" t="s">
        <v>29</v>
      </c>
    </row>
    <row r="8" spans="1:18" ht="15.5">
      <c r="A8" s="17" t="s">
        <v>24</v>
      </c>
      <c r="B8" s="1" t="s">
        <v>16</v>
      </c>
      <c r="C8" s="1">
        <v>22</v>
      </c>
      <c r="D8" s="1" t="s">
        <v>10</v>
      </c>
      <c r="E8" s="1" t="s">
        <v>25</v>
      </c>
      <c r="F8" s="1" t="s">
        <v>20</v>
      </c>
      <c r="G8" s="1" t="s">
        <v>13</v>
      </c>
      <c r="H8" s="2" t="s">
        <v>14</v>
      </c>
      <c r="I8" s="2" t="b">
        <f>COUNTIF($L$2:$L$18, A8)&gt;0</f>
        <v>0</v>
      </c>
      <c r="J8" s="19" t="b">
        <f>COUNTIF($O$2:$O$95, A8)&gt;0</f>
        <v>0</v>
      </c>
      <c r="K8" s="9" t="b">
        <f>COUNTIF($R:$R, A8)&gt;0</f>
        <v>0</v>
      </c>
      <c r="L8" t="s">
        <v>89</v>
      </c>
      <c r="M8" s="11" t="s">
        <v>174</v>
      </c>
      <c r="N8" s="12">
        <f>COUNTIFS(I:I, TRUE, B:B, "F")</f>
        <v>10</v>
      </c>
      <c r="O8" t="s">
        <v>40</v>
      </c>
      <c r="P8" s="11" t="s">
        <v>184</v>
      </c>
      <c r="Q8" s="21">
        <f>COUNTIFS(J:J, TRUE, B:B, "F")</f>
        <v>49</v>
      </c>
      <c r="R8" s="10" t="s">
        <v>40</v>
      </c>
    </row>
    <row r="9" spans="1:18" ht="15.5">
      <c r="A9" s="17" t="s">
        <v>26</v>
      </c>
      <c r="B9" s="1" t="s">
        <v>16</v>
      </c>
      <c r="C9" s="1">
        <v>23</v>
      </c>
      <c r="D9" s="1" t="s">
        <v>10</v>
      </c>
      <c r="E9" s="1" t="s">
        <v>11</v>
      </c>
      <c r="F9" s="1" t="s">
        <v>20</v>
      </c>
      <c r="G9" s="1" t="s">
        <v>13</v>
      </c>
      <c r="H9" s="2" t="s">
        <v>14</v>
      </c>
      <c r="I9" s="2" t="b">
        <f>COUNTIF($L$2:$L$18, A9)&gt;0</f>
        <v>0</v>
      </c>
      <c r="J9" s="19" t="b">
        <f>COUNTIF($O$2:$O$95, A9)&gt;0</f>
        <v>0</v>
      </c>
      <c r="K9" s="9" t="b">
        <f>COUNTIF($R:$R, A9)&gt;0</f>
        <v>0</v>
      </c>
      <c r="L9" t="s">
        <v>93</v>
      </c>
      <c r="M9"/>
      <c r="O9" t="s">
        <v>42</v>
      </c>
      <c r="R9" s="10" t="s">
        <v>42</v>
      </c>
    </row>
    <row r="10" spans="1:18" ht="15.5">
      <c r="A10" s="17" t="s">
        <v>27</v>
      </c>
      <c r="B10" s="1" t="s">
        <v>16</v>
      </c>
      <c r="C10" s="1">
        <v>19</v>
      </c>
      <c r="D10" s="1" t="s">
        <v>10</v>
      </c>
      <c r="E10" s="1" t="s">
        <v>11</v>
      </c>
      <c r="F10" s="1" t="s">
        <v>28</v>
      </c>
      <c r="G10" s="1" t="s">
        <v>13</v>
      </c>
      <c r="H10" s="2" t="s">
        <v>14</v>
      </c>
      <c r="I10" s="2" t="b">
        <f>COUNTIF($L$2:$L$18, A10)&gt;0</f>
        <v>0</v>
      </c>
      <c r="J10" s="19" t="b">
        <f>COUNTIF($O$2:$O$95, A10)&gt;0</f>
        <v>0</v>
      </c>
      <c r="K10" s="9" t="b">
        <f>COUNTIF($R:$R, A10)&gt;0</f>
        <v>0</v>
      </c>
      <c r="L10" t="s">
        <v>100</v>
      </c>
      <c r="M10"/>
      <c r="O10" t="s">
        <v>43</v>
      </c>
      <c r="R10" s="10" t="s">
        <v>43</v>
      </c>
    </row>
    <row r="11" spans="1:18" ht="15.5">
      <c r="A11" s="17" t="s">
        <v>29</v>
      </c>
      <c r="B11" s="1" t="s">
        <v>16</v>
      </c>
      <c r="C11" s="1">
        <v>26</v>
      </c>
      <c r="D11" s="1" t="s">
        <v>30</v>
      </c>
      <c r="E11" s="1" t="s">
        <v>31</v>
      </c>
      <c r="F11" s="1" t="s">
        <v>20</v>
      </c>
      <c r="G11" s="1" t="s">
        <v>32</v>
      </c>
      <c r="H11" s="2" t="s">
        <v>14</v>
      </c>
      <c r="I11" s="2" t="b">
        <f>COUNTIF($L$2:$L$18, A11)&gt;0</f>
        <v>0</v>
      </c>
      <c r="J11" s="19" t="b">
        <f>COUNTIF($O$2:$O$95, A11)&gt;0</f>
        <v>1</v>
      </c>
      <c r="K11" s="9" t="b">
        <f>COUNTIF($R:$R, A11)&gt;0</f>
        <v>1</v>
      </c>
      <c r="L11" t="s">
        <v>101</v>
      </c>
      <c r="M11"/>
      <c r="O11" t="s">
        <v>52</v>
      </c>
      <c r="P11" s="2">
        <f>(23.1176 * 17 + 30) / 18</f>
        <v>23.499955555555555</v>
      </c>
      <c r="R11" s="10" t="s">
        <v>52</v>
      </c>
    </row>
    <row r="12" spans="1:18" ht="15.5">
      <c r="A12" s="17" t="s">
        <v>33</v>
      </c>
      <c r="B12" s="1" t="s">
        <v>16</v>
      </c>
      <c r="C12" s="1">
        <v>19</v>
      </c>
      <c r="D12" s="1" t="s">
        <v>30</v>
      </c>
      <c r="E12" s="1" t="s">
        <v>11</v>
      </c>
      <c r="F12" s="1" t="s">
        <v>28</v>
      </c>
      <c r="G12" s="1" t="s">
        <v>13</v>
      </c>
      <c r="H12" s="2" t="s">
        <v>14</v>
      </c>
      <c r="I12" s="2" t="b">
        <f>COUNTIF($L$2:$L$18, A12)&gt;0</f>
        <v>0</v>
      </c>
      <c r="J12" s="19" t="b">
        <f>COUNTIF($O$2:$O$95, A12)&gt;0</f>
        <v>0</v>
      </c>
      <c r="K12" s="9" t="b">
        <f>COUNTIF($R:$R, A12)&gt;0</f>
        <v>0</v>
      </c>
      <c r="L12" t="s">
        <v>107</v>
      </c>
      <c r="M12"/>
      <c r="O12" t="s">
        <v>53</v>
      </c>
      <c r="R12" s="10" t="s">
        <v>53</v>
      </c>
    </row>
    <row r="13" spans="1:18" ht="15.5">
      <c r="A13" s="17" t="s">
        <v>34</v>
      </c>
      <c r="B13" s="1" t="s">
        <v>16</v>
      </c>
      <c r="C13" s="1">
        <v>19</v>
      </c>
      <c r="D13" s="1" t="s">
        <v>10</v>
      </c>
      <c r="E13" s="1" t="s">
        <v>35</v>
      </c>
      <c r="F13" s="1" t="s">
        <v>28</v>
      </c>
      <c r="G13" s="1" t="s">
        <v>13</v>
      </c>
      <c r="H13" s="2" t="s">
        <v>14</v>
      </c>
      <c r="I13" s="2" t="b">
        <f>COUNTIF($L$2:$L$18, A13)&gt;0</f>
        <v>0</v>
      </c>
      <c r="J13" s="19" t="b">
        <f>COUNTIF($O$2:$O$95, A13)&gt;0</f>
        <v>0</v>
      </c>
      <c r="K13" s="9" t="b">
        <f>COUNTIF($R:$R, A13)&gt;0</f>
        <v>0</v>
      </c>
      <c r="L13" t="s">
        <v>111</v>
      </c>
      <c r="M13"/>
      <c r="O13" t="s">
        <v>55</v>
      </c>
      <c r="R13" s="10" t="s">
        <v>55</v>
      </c>
    </row>
    <row r="14" spans="1:18" ht="15.5">
      <c r="A14" s="17" t="s">
        <v>36</v>
      </c>
      <c r="B14" s="1" t="s">
        <v>16</v>
      </c>
      <c r="C14" s="1">
        <v>19</v>
      </c>
      <c r="D14" s="1" t="s">
        <v>10</v>
      </c>
      <c r="E14" s="1" t="s">
        <v>25</v>
      </c>
      <c r="F14" s="1" t="s">
        <v>28</v>
      </c>
      <c r="G14" s="1" t="s">
        <v>13</v>
      </c>
      <c r="H14" s="2" t="s">
        <v>14</v>
      </c>
      <c r="I14" s="2" t="b">
        <f>COUNTIF($L$2:$L$18, A14)&gt;0</f>
        <v>0</v>
      </c>
      <c r="J14" s="19" t="b">
        <f>COUNTIF($O$2:$O$95, A14)&gt;0</f>
        <v>0</v>
      </c>
      <c r="K14" s="9" t="b">
        <f>COUNTIF($R:$R, A14)&gt;0</f>
        <v>0</v>
      </c>
      <c r="L14" t="s">
        <v>116</v>
      </c>
      <c r="M14"/>
      <c r="O14" t="s">
        <v>56</v>
      </c>
      <c r="R14" s="10" t="s">
        <v>56</v>
      </c>
    </row>
    <row r="15" spans="1:18" ht="15.5">
      <c r="A15" s="17" t="s">
        <v>37</v>
      </c>
      <c r="B15" s="1" t="s">
        <v>16</v>
      </c>
      <c r="C15" s="1">
        <v>21</v>
      </c>
      <c r="D15" s="1" t="s">
        <v>10</v>
      </c>
      <c r="E15" s="1" t="s">
        <v>11</v>
      </c>
      <c r="F15" s="1" t="s">
        <v>38</v>
      </c>
      <c r="G15" s="1" t="s">
        <v>13</v>
      </c>
      <c r="H15" s="2" t="s">
        <v>14</v>
      </c>
      <c r="I15" s="2" t="b">
        <f>COUNTIF($L$2:$L$18, A15)&gt;0</f>
        <v>0</v>
      </c>
      <c r="J15" s="19" t="b">
        <f>COUNTIF($O$2:$O$95, A15)&gt;0</f>
        <v>0</v>
      </c>
      <c r="K15" s="9" t="b">
        <f>COUNTIF($R:$R, A15)&gt;0</f>
        <v>0</v>
      </c>
      <c r="L15" t="s">
        <v>121</v>
      </c>
      <c r="M15"/>
      <c r="O15" t="s">
        <v>59</v>
      </c>
      <c r="R15" s="10" t="s">
        <v>59</v>
      </c>
    </row>
    <row r="16" spans="1:18" ht="15.5">
      <c r="A16" s="17" t="s">
        <v>39</v>
      </c>
      <c r="B16" s="1" t="s">
        <v>9</v>
      </c>
      <c r="C16" s="1">
        <v>20</v>
      </c>
      <c r="D16" s="1" t="s">
        <v>10</v>
      </c>
      <c r="E16" s="1" t="s">
        <v>11</v>
      </c>
      <c r="F16" s="1" t="s">
        <v>28</v>
      </c>
      <c r="G16" s="1" t="s">
        <v>13</v>
      </c>
      <c r="H16" s="2" t="s">
        <v>14</v>
      </c>
      <c r="I16" s="2" t="b">
        <f>COUNTIF($L$2:$L$18, A16)&gt;0</f>
        <v>0</v>
      </c>
      <c r="J16" s="19" t="b">
        <f>COUNTIF($O$2:$O$95, A16)&gt;0</f>
        <v>0</v>
      </c>
      <c r="K16" s="9" t="b">
        <f>COUNTIF($R:$R, A16)&gt;0</f>
        <v>0</v>
      </c>
      <c r="L16" t="s">
        <v>162</v>
      </c>
      <c r="M16"/>
      <c r="O16" t="s">
        <v>60</v>
      </c>
      <c r="R16" s="10" t="s">
        <v>60</v>
      </c>
    </row>
    <row r="17" spans="1:18" ht="15.5">
      <c r="A17" s="17" t="s">
        <v>40</v>
      </c>
      <c r="B17" s="1" t="s">
        <v>16</v>
      </c>
      <c r="C17" s="1">
        <v>28</v>
      </c>
      <c r="D17" s="1" t="s">
        <v>10</v>
      </c>
      <c r="E17" s="1" t="s">
        <v>11</v>
      </c>
      <c r="F17" s="1" t="s">
        <v>12</v>
      </c>
      <c r="G17" s="1" t="s">
        <v>13</v>
      </c>
      <c r="H17" s="2" t="s">
        <v>14</v>
      </c>
      <c r="I17" s="2" t="b">
        <f>COUNTIF($L$2:$L$18, A17)&gt;0</f>
        <v>1</v>
      </c>
      <c r="J17" s="19" t="b">
        <f>COUNTIF($O$2:$O$95, A17)&gt;0</f>
        <v>1</v>
      </c>
      <c r="K17" s="9" t="b">
        <f>COUNTIF($R:$R, A17)&gt;0</f>
        <v>1</v>
      </c>
      <c r="L17" t="s">
        <v>166</v>
      </c>
      <c r="M17"/>
      <c r="O17" t="s">
        <v>61</v>
      </c>
      <c r="R17" s="10" t="s">
        <v>61</v>
      </c>
    </row>
    <row r="18" spans="1:18" ht="15.5">
      <c r="A18" s="17" t="s">
        <v>41</v>
      </c>
      <c r="B18" s="1" t="s">
        <v>16</v>
      </c>
      <c r="C18" s="1">
        <v>20</v>
      </c>
      <c r="D18" s="1" t="s">
        <v>10</v>
      </c>
      <c r="E18" s="1" t="s">
        <v>35</v>
      </c>
      <c r="F18" s="1" t="s">
        <v>28</v>
      </c>
      <c r="G18" s="1" t="s">
        <v>13</v>
      </c>
      <c r="H18" s="2" t="s">
        <v>14</v>
      </c>
      <c r="I18" s="2" t="b">
        <f>COUNTIF($L$2:$L$18, A18)&gt;0</f>
        <v>0</v>
      </c>
      <c r="J18" s="19" t="b">
        <f>COUNTIF($O$2:$O$95, A18)&gt;0</f>
        <v>0</v>
      </c>
      <c r="K18" s="9" t="b">
        <f>COUNTIF($R:$R, A18)&gt;0</f>
        <v>0</v>
      </c>
      <c r="L18" t="s">
        <v>168</v>
      </c>
      <c r="M18"/>
      <c r="O18" t="s">
        <v>62</v>
      </c>
      <c r="R18" s="10" t="s">
        <v>62</v>
      </c>
    </row>
    <row r="19" spans="1:18" ht="15.5">
      <c r="A19" s="17" t="s">
        <v>42</v>
      </c>
      <c r="B19" s="1" t="s">
        <v>16</v>
      </c>
      <c r="C19" s="1">
        <v>22</v>
      </c>
      <c r="D19" s="1" t="s">
        <v>10</v>
      </c>
      <c r="E19" s="1" t="s">
        <v>11</v>
      </c>
      <c r="F19" s="1" t="s">
        <v>20</v>
      </c>
      <c r="G19" s="1" t="s">
        <v>13</v>
      </c>
      <c r="H19" s="2" t="s">
        <v>14</v>
      </c>
      <c r="I19" s="2" t="b">
        <f>COUNTIF($L$2:$L$18, A19)&gt;0</f>
        <v>0</v>
      </c>
      <c r="J19" s="19" t="b">
        <f>COUNTIF($O$2:$O$95, A19)&gt;0</f>
        <v>1</v>
      </c>
      <c r="K19" s="9" t="b">
        <f>COUNTIF($R:$R, A19)&gt;0</f>
        <v>1</v>
      </c>
      <c r="L19" t="s">
        <v>186</v>
      </c>
      <c r="O19" t="s">
        <v>63</v>
      </c>
      <c r="R19" s="10" t="s">
        <v>63</v>
      </c>
    </row>
    <row r="20" spans="1:18" ht="15.5">
      <c r="A20" s="17" t="s">
        <v>43</v>
      </c>
      <c r="B20" s="1" t="s">
        <v>16</v>
      </c>
      <c r="C20" s="1">
        <v>29</v>
      </c>
      <c r="D20" s="1" t="s">
        <v>10</v>
      </c>
      <c r="E20" s="1" t="s">
        <v>35</v>
      </c>
      <c r="F20" s="1" t="s">
        <v>17</v>
      </c>
      <c r="G20" s="1" t="s">
        <v>44</v>
      </c>
      <c r="H20" s="2" t="s">
        <v>14</v>
      </c>
      <c r="I20" s="2" t="b">
        <f>COUNTIF($L$2:$L$18, A20)&gt;0</f>
        <v>0</v>
      </c>
      <c r="J20" s="19" t="b">
        <f>COUNTIF($O$2:$O$95, A20)&gt;0</f>
        <v>1</v>
      </c>
      <c r="K20" s="9" t="b">
        <f>COUNTIF($R:$R, A20)&gt;0</f>
        <v>1</v>
      </c>
      <c r="O20" t="s">
        <v>65</v>
      </c>
      <c r="R20" s="10" t="s">
        <v>65</v>
      </c>
    </row>
    <row r="21" spans="1:18" ht="15.5">
      <c r="A21" s="17" t="s">
        <v>45</v>
      </c>
      <c r="B21" s="1" t="s">
        <v>16</v>
      </c>
      <c r="C21" s="1">
        <v>19</v>
      </c>
      <c r="D21" s="1" t="s">
        <v>10</v>
      </c>
      <c r="E21" s="1" t="s">
        <v>35</v>
      </c>
      <c r="F21" s="1" t="s">
        <v>28</v>
      </c>
      <c r="G21" s="1" t="s">
        <v>13</v>
      </c>
      <c r="H21" s="2" t="s">
        <v>14</v>
      </c>
      <c r="I21" s="2" t="b">
        <f>COUNTIF($L$2:$L$18, A21)&gt;0</f>
        <v>0</v>
      </c>
      <c r="J21" s="19" t="b">
        <f>COUNTIF($O$2:$O$95, A21)&gt;0</f>
        <v>0</v>
      </c>
      <c r="K21" s="9" t="b">
        <f>COUNTIF($R:$R, A21)&gt;0</f>
        <v>0</v>
      </c>
      <c r="O21" t="s">
        <v>66</v>
      </c>
      <c r="R21" s="10" t="s">
        <v>66</v>
      </c>
    </row>
    <row r="22" spans="1:18" ht="15.5">
      <c r="A22" s="17" t="s">
        <v>46</v>
      </c>
      <c r="B22" s="1" t="s">
        <v>9</v>
      </c>
      <c r="C22" s="1">
        <v>21</v>
      </c>
      <c r="D22" s="1" t="s">
        <v>10</v>
      </c>
      <c r="E22" s="1" t="s">
        <v>35</v>
      </c>
      <c r="F22" s="1" t="s">
        <v>28</v>
      </c>
      <c r="G22" s="1" t="s">
        <v>13</v>
      </c>
      <c r="H22" s="2" t="s">
        <v>14</v>
      </c>
      <c r="I22" s="2" t="b">
        <f>COUNTIF($L$2:$L$18, A22)&gt;0</f>
        <v>0</v>
      </c>
      <c r="J22" s="19" t="b">
        <f>COUNTIF($O$2:$O$95, A22)&gt;0</f>
        <v>0</v>
      </c>
      <c r="K22" s="9" t="b">
        <f>COUNTIF($R:$R, A22)&gt;0</f>
        <v>0</v>
      </c>
      <c r="O22" t="s">
        <v>67</v>
      </c>
      <c r="R22" s="10" t="s">
        <v>67</v>
      </c>
    </row>
    <row r="23" spans="1:18" ht="15.5">
      <c r="A23" s="17" t="s">
        <v>47</v>
      </c>
      <c r="B23" s="1" t="s">
        <v>16</v>
      </c>
      <c r="C23" s="1">
        <v>23</v>
      </c>
      <c r="D23" s="1" t="s">
        <v>10</v>
      </c>
      <c r="E23" s="1" t="s">
        <v>11</v>
      </c>
      <c r="F23" s="1" t="s">
        <v>20</v>
      </c>
      <c r="G23" s="1" t="s">
        <v>13</v>
      </c>
      <c r="H23" s="2" t="s">
        <v>14</v>
      </c>
      <c r="I23" s="2" t="b">
        <f>COUNTIF($L$2:$L$18, A23)&gt;0</f>
        <v>0</v>
      </c>
      <c r="J23" s="19" t="b">
        <f>COUNTIF($O$2:$O$95, A23)&gt;0</f>
        <v>0</v>
      </c>
      <c r="K23" s="9" t="b">
        <f>COUNTIF($R:$R, A23)&gt;0</f>
        <v>0</v>
      </c>
      <c r="O23" t="s">
        <v>68</v>
      </c>
      <c r="R23" s="10" t="s">
        <v>68</v>
      </c>
    </row>
    <row r="24" spans="1:18" ht="15.5">
      <c r="A24" s="17" t="s">
        <v>48</v>
      </c>
      <c r="B24" s="1" t="s">
        <v>16</v>
      </c>
      <c r="C24" s="1">
        <v>21</v>
      </c>
      <c r="D24" s="1" t="s">
        <v>10</v>
      </c>
      <c r="E24" s="1" t="s">
        <v>25</v>
      </c>
      <c r="F24" s="1" t="s">
        <v>28</v>
      </c>
      <c r="G24" s="1" t="s">
        <v>13</v>
      </c>
      <c r="H24" s="2" t="s">
        <v>14</v>
      </c>
      <c r="I24" s="2" t="b">
        <f>COUNTIF($L$2:$L$18, A24)&gt;0</f>
        <v>0</v>
      </c>
      <c r="J24" s="19" t="b">
        <f>COUNTIF($O$2:$O$95, A24)&gt;0</f>
        <v>0</v>
      </c>
      <c r="K24" s="9" t="b">
        <f>COUNTIF($R:$R, A24)&gt;0</f>
        <v>0</v>
      </c>
      <c r="O24" t="s">
        <v>69</v>
      </c>
      <c r="R24" s="10" t="s">
        <v>69</v>
      </c>
    </row>
    <row r="25" spans="1:18" ht="15.5">
      <c r="A25" s="17" t="s">
        <v>49</v>
      </c>
      <c r="B25" s="1" t="s">
        <v>16</v>
      </c>
      <c r="C25" s="1">
        <v>19</v>
      </c>
      <c r="D25" s="1" t="s">
        <v>10</v>
      </c>
      <c r="E25" s="1" t="s">
        <v>50</v>
      </c>
      <c r="F25" s="1" t="s">
        <v>28</v>
      </c>
      <c r="G25" s="1" t="s">
        <v>13</v>
      </c>
      <c r="H25" s="2" t="s">
        <v>14</v>
      </c>
      <c r="I25" s="2" t="b">
        <f>COUNTIF($L$2:$L$18, A25)&gt;0</f>
        <v>0</v>
      </c>
      <c r="J25" s="19" t="b">
        <f>COUNTIF($O$2:$O$95, A25)&gt;0</f>
        <v>0</v>
      </c>
      <c r="K25" s="9" t="b">
        <f>COUNTIF($R:$R, A25)&gt;0</f>
        <v>0</v>
      </c>
      <c r="O25" t="s">
        <v>71</v>
      </c>
      <c r="R25" s="10" t="s">
        <v>71</v>
      </c>
    </row>
    <row r="26" spans="1:18" ht="15.5">
      <c r="A26" s="17" t="s">
        <v>51</v>
      </c>
      <c r="B26" s="1" t="s">
        <v>16</v>
      </c>
      <c r="C26" s="1">
        <v>28</v>
      </c>
      <c r="D26" s="1" t="s">
        <v>10</v>
      </c>
      <c r="E26" s="1" t="s">
        <v>11</v>
      </c>
      <c r="F26" s="1" t="s">
        <v>12</v>
      </c>
      <c r="G26" s="1" t="s">
        <v>13</v>
      </c>
      <c r="H26" s="2" t="s">
        <v>14</v>
      </c>
      <c r="I26" s="2" t="b">
        <f>COUNTIF($L$2:$L$18, A26)&gt;0</f>
        <v>0</v>
      </c>
      <c r="J26" s="19" t="b">
        <f>COUNTIF($O$2:$O$95, A26)&gt;0</f>
        <v>0</v>
      </c>
      <c r="K26" s="9" t="b">
        <f>COUNTIF($R:$R, A26)&gt;0</f>
        <v>0</v>
      </c>
      <c r="O26" t="s">
        <v>72</v>
      </c>
      <c r="R26" s="10" t="s">
        <v>72</v>
      </c>
    </row>
    <row r="27" spans="1:18" ht="15.5">
      <c r="A27" s="17" t="s">
        <v>52</v>
      </c>
      <c r="B27" s="1" t="s">
        <v>9</v>
      </c>
      <c r="C27" s="1">
        <v>28</v>
      </c>
      <c r="D27" s="1" t="s">
        <v>10</v>
      </c>
      <c r="E27" s="1" t="s">
        <v>11</v>
      </c>
      <c r="F27" s="1" t="s">
        <v>20</v>
      </c>
      <c r="G27" s="1" t="s">
        <v>13</v>
      </c>
      <c r="H27" s="2" t="s">
        <v>14</v>
      </c>
      <c r="I27" s="2" t="b">
        <f>COUNTIF($L$2:$L$18, A27)&gt;0</f>
        <v>1</v>
      </c>
      <c r="J27" s="19" t="b">
        <f>COUNTIF($O$2:$O$95, A27)&gt;0</f>
        <v>1</v>
      </c>
      <c r="K27" s="9" t="b">
        <f>COUNTIF($R:$R, A27)&gt;0</f>
        <v>1</v>
      </c>
      <c r="O27" t="s">
        <v>73</v>
      </c>
      <c r="R27" s="10" t="s">
        <v>73</v>
      </c>
    </row>
    <row r="28" spans="1:18" ht="15.5">
      <c r="A28" s="17" t="s">
        <v>53</v>
      </c>
      <c r="B28" s="1" t="s">
        <v>9</v>
      </c>
      <c r="C28" s="1">
        <v>26</v>
      </c>
      <c r="D28" s="1" t="s">
        <v>10</v>
      </c>
      <c r="E28" s="1" t="s">
        <v>50</v>
      </c>
      <c r="F28" s="1" t="s">
        <v>20</v>
      </c>
      <c r="G28" s="1" t="s">
        <v>13</v>
      </c>
      <c r="H28" s="2" t="s">
        <v>14</v>
      </c>
      <c r="I28" s="2" t="b">
        <f>COUNTIF($L$2:$L$18, A28)&gt;0</f>
        <v>0</v>
      </c>
      <c r="J28" s="19" t="b">
        <f>COUNTIF($O$2:$O$95, A28)&gt;0</f>
        <v>1</v>
      </c>
      <c r="K28" s="9" t="b">
        <f>COUNTIF($R:$R, A28)&gt;0</f>
        <v>1</v>
      </c>
      <c r="O28" t="s">
        <v>74</v>
      </c>
      <c r="R28" s="10" t="s">
        <v>74</v>
      </c>
    </row>
    <row r="29" spans="1:18" ht="15.5">
      <c r="A29" s="17" t="s">
        <v>54</v>
      </c>
      <c r="B29" s="1" t="s">
        <v>16</v>
      </c>
      <c r="C29" s="1">
        <v>30</v>
      </c>
      <c r="D29" s="1" t="s">
        <v>10</v>
      </c>
      <c r="E29" s="1" t="s">
        <v>25</v>
      </c>
      <c r="F29" s="1" t="s">
        <v>20</v>
      </c>
      <c r="G29" s="1" t="s">
        <v>13</v>
      </c>
      <c r="H29" s="2" t="s">
        <v>14</v>
      </c>
      <c r="I29" s="2" t="b">
        <f>COUNTIF($L$2:$L$18, A29)&gt;0</f>
        <v>0</v>
      </c>
      <c r="J29" s="19" t="b">
        <f>COUNTIF($O$2:$O$95, A29)&gt;0</f>
        <v>0</v>
      </c>
      <c r="K29" s="9" t="b">
        <f>COUNTIF($R:$R, A29)&gt;0</f>
        <v>0</v>
      </c>
      <c r="O29" t="s">
        <v>75</v>
      </c>
      <c r="R29" s="10" t="s">
        <v>75</v>
      </c>
    </row>
    <row r="30" spans="1:18" ht="15.5">
      <c r="A30" s="17" t="s">
        <v>55</v>
      </c>
      <c r="B30" s="1" t="s">
        <v>16</v>
      </c>
      <c r="C30" s="1">
        <v>19</v>
      </c>
      <c r="D30" s="1" t="s">
        <v>10</v>
      </c>
      <c r="E30" s="1" t="s">
        <v>25</v>
      </c>
      <c r="F30" s="2" t="s">
        <v>28</v>
      </c>
      <c r="G30" s="1" t="s">
        <v>13</v>
      </c>
      <c r="H30" s="2" t="s">
        <v>14</v>
      </c>
      <c r="I30" s="2" t="b">
        <f>COUNTIF($L$2:$L$18, A30)&gt;0</f>
        <v>0</v>
      </c>
      <c r="J30" s="19" t="b">
        <f>COUNTIF($O$2:$O$95, A30)&gt;0</f>
        <v>1</v>
      </c>
      <c r="K30" s="9" t="b">
        <f>COUNTIF($R:$R, A30)&gt;0</f>
        <v>1</v>
      </c>
      <c r="O30" t="s">
        <v>77</v>
      </c>
      <c r="R30" s="10" t="s">
        <v>77</v>
      </c>
    </row>
    <row r="31" spans="1:18" ht="15.5">
      <c r="A31" s="17" t="s">
        <v>56</v>
      </c>
      <c r="B31" s="1" t="s">
        <v>9</v>
      </c>
      <c r="C31" s="1">
        <v>26</v>
      </c>
      <c r="D31" s="1" t="s">
        <v>30</v>
      </c>
      <c r="E31" s="1" t="s">
        <v>57</v>
      </c>
      <c r="F31" s="2" t="s">
        <v>20</v>
      </c>
      <c r="G31" s="1" t="s">
        <v>13</v>
      </c>
      <c r="H31" s="2" t="s">
        <v>14</v>
      </c>
      <c r="I31" s="2" t="b">
        <f>COUNTIF($L$2:$L$18, A31)&gt;0</f>
        <v>0</v>
      </c>
      <c r="J31" s="19" t="b">
        <f>COUNTIF($O$2:$O$95, A31)&gt;0</f>
        <v>1</v>
      </c>
      <c r="K31" s="9" t="b">
        <f>COUNTIF($R:$R, A31)&gt;0</f>
        <v>1</v>
      </c>
      <c r="O31" t="s">
        <v>78</v>
      </c>
      <c r="R31" s="10" t="s">
        <v>78</v>
      </c>
    </row>
    <row r="32" spans="1:18" ht="15.5">
      <c r="A32" s="1" t="s">
        <v>58</v>
      </c>
      <c r="B32" s="1" t="s">
        <v>16</v>
      </c>
      <c r="C32" s="1">
        <v>19</v>
      </c>
      <c r="D32" s="1" t="s">
        <v>10</v>
      </c>
      <c r="E32" s="1" t="s">
        <v>35</v>
      </c>
      <c r="F32" s="2" t="s">
        <v>38</v>
      </c>
      <c r="G32" s="1" t="s">
        <v>13</v>
      </c>
      <c r="H32" s="2" t="s">
        <v>14</v>
      </c>
      <c r="I32" s="2" t="b">
        <f>COUNTIF($L$2:$L$18, A32)&gt;0</f>
        <v>0</v>
      </c>
      <c r="J32" s="19" t="b">
        <f>COUNTIF($O$2:$O$95, A32)&gt;0</f>
        <v>0</v>
      </c>
      <c r="K32" s="9" t="b">
        <f>COUNTIF($R:$R, A32)&gt;0</f>
        <v>0</v>
      </c>
      <c r="O32" t="s">
        <v>79</v>
      </c>
      <c r="R32" s="10" t="s">
        <v>79</v>
      </c>
    </row>
    <row r="33" spans="1:18" ht="15.5">
      <c r="A33" s="17" t="s">
        <v>59</v>
      </c>
      <c r="B33" s="1" t="s">
        <v>16</v>
      </c>
      <c r="C33" s="1">
        <v>20</v>
      </c>
      <c r="D33" s="1" t="s">
        <v>10</v>
      </c>
      <c r="E33" s="1" t="s">
        <v>11</v>
      </c>
      <c r="F33" s="2" t="s">
        <v>28</v>
      </c>
      <c r="G33" s="1" t="s">
        <v>13</v>
      </c>
      <c r="H33" s="2" t="s">
        <v>14</v>
      </c>
      <c r="I33" s="2" t="b">
        <f>COUNTIF($L$2:$L$18, A33)&gt;0</f>
        <v>1</v>
      </c>
      <c r="J33" s="19" t="b">
        <f>COUNTIF($O$2:$O$95, A33)&gt;0</f>
        <v>1</v>
      </c>
      <c r="K33" s="9" t="b">
        <f>COUNTIF($R:$R, A33)&gt;0</f>
        <v>1</v>
      </c>
      <c r="O33" t="s">
        <v>80</v>
      </c>
      <c r="R33" s="10" t="s">
        <v>80</v>
      </c>
    </row>
    <row r="34" spans="1:18" ht="15.5">
      <c r="A34" s="17" t="s">
        <v>60</v>
      </c>
      <c r="B34" s="1" t="s">
        <v>16</v>
      </c>
      <c r="C34" s="1">
        <v>20</v>
      </c>
      <c r="D34" s="1" t="s">
        <v>30</v>
      </c>
      <c r="E34" s="1" t="s">
        <v>11</v>
      </c>
      <c r="F34" s="2" t="s">
        <v>28</v>
      </c>
      <c r="G34" s="1" t="s">
        <v>13</v>
      </c>
      <c r="H34" s="2" t="s">
        <v>14</v>
      </c>
      <c r="I34" s="2" t="b">
        <f>COUNTIF($L$2:$L$18, A34)&gt;0</f>
        <v>0</v>
      </c>
      <c r="J34" s="19" t="b">
        <f>COUNTIF($O$2:$O$95, A34)&gt;0</f>
        <v>1</v>
      </c>
      <c r="K34" s="9" t="b">
        <f>COUNTIF($R:$R, A34)&gt;0</f>
        <v>1</v>
      </c>
      <c r="O34" t="s">
        <v>83</v>
      </c>
      <c r="R34" s="10" t="s">
        <v>83</v>
      </c>
    </row>
    <row r="35" spans="1:18" ht="15.5">
      <c r="A35" s="17" t="s">
        <v>61</v>
      </c>
      <c r="B35" s="1" t="s">
        <v>16</v>
      </c>
      <c r="C35" s="1">
        <v>27</v>
      </c>
      <c r="D35" s="1" t="s">
        <v>10</v>
      </c>
      <c r="E35" s="1" t="s">
        <v>11</v>
      </c>
      <c r="F35" s="2" t="s">
        <v>12</v>
      </c>
      <c r="G35" s="1" t="s">
        <v>13</v>
      </c>
      <c r="H35" s="2" t="s">
        <v>14</v>
      </c>
      <c r="I35" s="2" t="b">
        <f>COUNTIF($L$2:$L$18, A35)&gt;0</f>
        <v>0</v>
      </c>
      <c r="J35" s="19" t="b">
        <f>COUNTIF($O$2:$O$95, A35)&gt;0</f>
        <v>1</v>
      </c>
      <c r="K35" s="9" t="b">
        <f>COUNTIF($R:$R, A35)&gt;0</f>
        <v>1</v>
      </c>
      <c r="O35" t="s">
        <v>84</v>
      </c>
      <c r="R35" s="10" t="s">
        <v>84</v>
      </c>
    </row>
    <row r="36" spans="1:18" ht="15.5">
      <c r="A36" s="17" t="s">
        <v>62</v>
      </c>
      <c r="B36" s="1" t="s">
        <v>9</v>
      </c>
      <c r="C36" s="1">
        <v>20</v>
      </c>
      <c r="D36" s="1" t="s">
        <v>10</v>
      </c>
      <c r="E36" s="1" t="s">
        <v>11</v>
      </c>
      <c r="F36" s="2" t="s">
        <v>28</v>
      </c>
      <c r="G36" s="1" t="s">
        <v>13</v>
      </c>
      <c r="H36" s="2" t="s">
        <v>14</v>
      </c>
      <c r="I36" s="2" t="b">
        <f>COUNTIF($L$2:$L$18, A36)&gt;0</f>
        <v>0</v>
      </c>
      <c r="J36" s="19" t="b">
        <f>COUNTIF($O$2:$O$95, A36)&gt;0</f>
        <v>1</v>
      </c>
      <c r="K36" s="9" t="b">
        <f>COUNTIF($R:$R, A36)&gt;0</f>
        <v>1</v>
      </c>
      <c r="O36" t="s">
        <v>85</v>
      </c>
      <c r="R36" s="10" t="s">
        <v>85</v>
      </c>
    </row>
    <row r="37" spans="1:18" ht="15.5">
      <c r="A37" s="17" t="s">
        <v>63</v>
      </c>
      <c r="B37" s="1" t="s">
        <v>16</v>
      </c>
      <c r="C37" s="1">
        <v>22</v>
      </c>
      <c r="D37" s="1" t="s">
        <v>10</v>
      </c>
      <c r="E37" s="1" t="s">
        <v>25</v>
      </c>
      <c r="F37" s="2" t="s">
        <v>28</v>
      </c>
      <c r="G37" s="1" t="s">
        <v>13</v>
      </c>
      <c r="H37" s="2" t="s">
        <v>14</v>
      </c>
      <c r="I37" s="2" t="b">
        <f>COUNTIF($L$2:$L$18, A37)&gt;0</f>
        <v>1</v>
      </c>
      <c r="J37" s="19" t="b">
        <f>COUNTIF($O$2:$O$95, A37)&gt;0</f>
        <v>1</v>
      </c>
      <c r="K37" s="9" t="b">
        <f>COUNTIF($R:$R, A37)&gt;0</f>
        <v>1</v>
      </c>
      <c r="O37" t="s">
        <v>86</v>
      </c>
      <c r="R37" s="10" t="s">
        <v>86</v>
      </c>
    </row>
    <row r="38" spans="1:18" ht="15.5">
      <c r="A38" s="1" t="s">
        <v>64</v>
      </c>
      <c r="B38" s="1" t="s">
        <v>16</v>
      </c>
      <c r="C38" s="1">
        <v>22</v>
      </c>
      <c r="D38" s="1" t="s">
        <v>10</v>
      </c>
      <c r="E38" s="1" t="s">
        <v>11</v>
      </c>
      <c r="F38" s="2" t="s">
        <v>28</v>
      </c>
      <c r="G38" s="1" t="s">
        <v>13</v>
      </c>
      <c r="H38" s="2" t="s">
        <v>14</v>
      </c>
      <c r="I38" s="2" t="b">
        <f>COUNTIF($L$2:$L$18, A38)&gt;0</f>
        <v>0</v>
      </c>
      <c r="J38" s="19" t="b">
        <f>COUNTIF($O$2:$O$95, A38)&gt;0</f>
        <v>0</v>
      </c>
      <c r="K38" s="9" t="b">
        <f>COUNTIF($R:$R, A38)&gt;0</f>
        <v>0</v>
      </c>
      <c r="O38" t="s">
        <v>87</v>
      </c>
      <c r="R38" s="10" t="s">
        <v>87</v>
      </c>
    </row>
    <row r="39" spans="1:18" ht="15.5">
      <c r="A39" s="17" t="s">
        <v>65</v>
      </c>
      <c r="B39" s="1" t="s">
        <v>16</v>
      </c>
      <c r="C39" s="1">
        <v>29</v>
      </c>
      <c r="D39" s="1" t="s">
        <v>10</v>
      </c>
      <c r="E39" s="1" t="s">
        <v>35</v>
      </c>
      <c r="F39" s="2" t="s">
        <v>12</v>
      </c>
      <c r="G39" s="1" t="s">
        <v>13</v>
      </c>
      <c r="H39" s="2" t="s">
        <v>14</v>
      </c>
      <c r="I39" s="2" t="b">
        <f>COUNTIF($L$2:$L$18, A39)&gt;0</f>
        <v>0</v>
      </c>
      <c r="J39" s="19" t="b">
        <f>COUNTIF($O$2:$O$95, A39)&gt;0</f>
        <v>1</v>
      </c>
      <c r="K39" s="9" t="b">
        <f>COUNTIF($R:$R, A39)&gt;0</f>
        <v>1</v>
      </c>
      <c r="O39" t="s">
        <v>88</v>
      </c>
      <c r="R39" s="10" t="s">
        <v>88</v>
      </c>
    </row>
    <row r="40" spans="1:18" ht="15.5">
      <c r="A40" s="17" t="s">
        <v>66</v>
      </c>
      <c r="B40" s="1" t="s">
        <v>16</v>
      </c>
      <c r="C40" s="1">
        <v>24</v>
      </c>
      <c r="D40" s="1" t="s">
        <v>10</v>
      </c>
      <c r="E40" s="1" t="s">
        <v>11</v>
      </c>
      <c r="F40" s="2" t="s">
        <v>20</v>
      </c>
      <c r="G40" s="1" t="s">
        <v>13</v>
      </c>
      <c r="H40" s="2" t="s">
        <v>14</v>
      </c>
      <c r="I40" s="2" t="b">
        <f>COUNTIF($L$2:$L$18, A40)&gt;0</f>
        <v>0</v>
      </c>
      <c r="J40" s="19" t="b">
        <f>COUNTIF($O$2:$O$95, A40)&gt;0</f>
        <v>1</v>
      </c>
      <c r="K40" s="9" t="b">
        <f>COUNTIF($R:$R, A40)&gt;0</f>
        <v>1</v>
      </c>
      <c r="O40" t="s">
        <v>89</v>
      </c>
      <c r="R40" s="10" t="s">
        <v>89</v>
      </c>
    </row>
    <row r="41" spans="1:18" ht="15.5">
      <c r="A41" s="17" t="s">
        <v>67</v>
      </c>
      <c r="B41" s="1" t="s">
        <v>16</v>
      </c>
      <c r="C41" s="1">
        <v>26</v>
      </c>
      <c r="D41" s="1" t="s">
        <v>10</v>
      </c>
      <c r="E41" s="1" t="s">
        <v>11</v>
      </c>
      <c r="F41" s="2" t="s">
        <v>20</v>
      </c>
      <c r="G41" s="1" t="s">
        <v>13</v>
      </c>
      <c r="H41" s="2" t="s">
        <v>14</v>
      </c>
      <c r="I41" s="2" t="b">
        <f>COUNTIF($L$2:$L$18, A41)&gt;0</f>
        <v>0</v>
      </c>
      <c r="J41" s="19" t="b">
        <f>COUNTIF($O$2:$O$95, A41)&gt;0</f>
        <v>1</v>
      </c>
      <c r="K41" s="9" t="b">
        <f>COUNTIF($R:$R, A41)&gt;0</f>
        <v>1</v>
      </c>
      <c r="O41" t="s">
        <v>90</v>
      </c>
      <c r="R41" s="10" t="s">
        <v>90</v>
      </c>
    </row>
    <row r="42" spans="1:18" ht="15.5">
      <c r="A42" s="17" t="s">
        <v>68</v>
      </c>
      <c r="B42" s="1" t="s">
        <v>9</v>
      </c>
      <c r="C42" s="1">
        <v>24</v>
      </c>
      <c r="D42" s="1" t="s">
        <v>10</v>
      </c>
      <c r="E42" s="1" t="s">
        <v>35</v>
      </c>
      <c r="F42" s="2" t="s">
        <v>12</v>
      </c>
      <c r="G42" s="1" t="s">
        <v>13</v>
      </c>
      <c r="H42" s="2" t="s">
        <v>14</v>
      </c>
      <c r="I42" s="2" t="b">
        <f>COUNTIF($L$2:$L$18, A42)&gt;0</f>
        <v>0</v>
      </c>
      <c r="J42" s="19" t="b">
        <f>COUNTIF($O$2:$O$95, A42)&gt;0</f>
        <v>1</v>
      </c>
      <c r="K42" s="9" t="b">
        <f>COUNTIF($R:$R, A42)&gt;0</f>
        <v>1</v>
      </c>
      <c r="O42" t="s">
        <v>92</v>
      </c>
      <c r="R42" s="10" t="s">
        <v>92</v>
      </c>
    </row>
    <row r="43" spans="1:18" ht="15.5">
      <c r="A43" s="17" t="s">
        <v>69</v>
      </c>
      <c r="B43" s="1" t="s">
        <v>16</v>
      </c>
      <c r="C43" s="1">
        <v>26</v>
      </c>
      <c r="D43" s="1" t="s">
        <v>10</v>
      </c>
      <c r="E43" s="1" t="s">
        <v>11</v>
      </c>
      <c r="F43" s="2" t="s">
        <v>20</v>
      </c>
      <c r="G43" s="1" t="s">
        <v>13</v>
      </c>
      <c r="H43" s="2" t="s">
        <v>14</v>
      </c>
      <c r="I43" s="2" t="b">
        <f>COUNTIF($L$2:$L$18, A43)&gt;0</f>
        <v>0</v>
      </c>
      <c r="J43" s="19" t="b">
        <f>COUNTIF($O$2:$O$95, A43)&gt;0</f>
        <v>1</v>
      </c>
      <c r="K43" s="9" t="b">
        <f>COUNTIF($R:$R, A43)&gt;0</f>
        <v>1</v>
      </c>
      <c r="O43" t="s">
        <v>93</v>
      </c>
      <c r="R43" s="10" t="s">
        <v>93</v>
      </c>
    </row>
    <row r="44" spans="1:18" ht="15.5">
      <c r="A44" s="17" t="s">
        <v>70</v>
      </c>
      <c r="B44" s="1" t="s">
        <v>16</v>
      </c>
      <c r="C44" s="1">
        <v>29</v>
      </c>
      <c r="D44" s="1" t="s">
        <v>10</v>
      </c>
      <c r="E44" s="1" t="s">
        <v>35</v>
      </c>
      <c r="F44" s="2" t="s">
        <v>12</v>
      </c>
      <c r="G44" s="1" t="s">
        <v>13</v>
      </c>
      <c r="H44" s="2" t="s">
        <v>14</v>
      </c>
      <c r="I44" s="2" t="b">
        <f>COUNTIF($L$2:$L$18, A44)&gt;0</f>
        <v>0</v>
      </c>
      <c r="J44" s="19" t="b">
        <f>COUNTIF($O$2:$O$95, A44)&gt;0</f>
        <v>0</v>
      </c>
      <c r="K44" s="9" t="b">
        <f>COUNTIF($R:$R, A44)&gt;0</f>
        <v>0</v>
      </c>
      <c r="O44" t="s">
        <v>96</v>
      </c>
      <c r="R44" s="10" t="s">
        <v>96</v>
      </c>
    </row>
    <row r="45" spans="1:18" ht="15.5">
      <c r="A45" s="17" t="s">
        <v>71</v>
      </c>
      <c r="B45" s="1" t="s">
        <v>16</v>
      </c>
      <c r="C45" s="1">
        <v>24</v>
      </c>
      <c r="D45" s="1" t="s">
        <v>10</v>
      </c>
      <c r="E45" s="1" t="s">
        <v>11</v>
      </c>
      <c r="F45" s="2" t="s">
        <v>20</v>
      </c>
      <c r="G45" s="1" t="s">
        <v>13</v>
      </c>
      <c r="H45" s="2" t="s">
        <v>14</v>
      </c>
      <c r="I45" s="2" t="b">
        <f>COUNTIF($L$2:$L$18, A45)&gt;0</f>
        <v>0</v>
      </c>
      <c r="J45" s="19" t="b">
        <f>COUNTIF($O$2:$O$95, A45)&gt;0</f>
        <v>1</v>
      </c>
      <c r="K45" s="9" t="b">
        <f>COUNTIF($R:$R, A45)&gt;0</f>
        <v>1</v>
      </c>
      <c r="O45" t="s">
        <v>97</v>
      </c>
      <c r="R45" s="10" t="s">
        <v>97</v>
      </c>
    </row>
    <row r="46" spans="1:18" ht="15.5">
      <c r="A46" s="17" t="s">
        <v>72</v>
      </c>
      <c r="B46" s="1" t="s">
        <v>16</v>
      </c>
      <c r="C46" s="1">
        <v>24</v>
      </c>
      <c r="D46" s="1" t="s">
        <v>30</v>
      </c>
      <c r="E46" s="1" t="s">
        <v>25</v>
      </c>
      <c r="F46" s="2" t="s">
        <v>20</v>
      </c>
      <c r="G46" s="1" t="s">
        <v>13</v>
      </c>
      <c r="H46" s="2" t="s">
        <v>14</v>
      </c>
      <c r="I46" s="2" t="b">
        <f>COUNTIF($L$2:$L$18, A46)&gt;0</f>
        <v>0</v>
      </c>
      <c r="J46" s="19" t="b">
        <f>COUNTIF($O$2:$O$95, A46)&gt;0</f>
        <v>1</v>
      </c>
      <c r="K46" s="9" t="b">
        <f>COUNTIF($R:$R, A46)&gt;0</f>
        <v>1</v>
      </c>
      <c r="O46" t="s">
        <v>98</v>
      </c>
      <c r="R46" s="10" t="s">
        <v>98</v>
      </c>
    </row>
    <row r="47" spans="1:18" ht="15.5">
      <c r="A47" s="17" t="s">
        <v>73</v>
      </c>
      <c r="B47" s="1" t="s">
        <v>16</v>
      </c>
      <c r="C47" s="1">
        <v>25</v>
      </c>
      <c r="D47" s="1" t="s">
        <v>10</v>
      </c>
      <c r="E47" s="1" t="s">
        <v>11</v>
      </c>
      <c r="F47" s="2" t="s">
        <v>20</v>
      </c>
      <c r="G47" s="1" t="s">
        <v>13</v>
      </c>
      <c r="H47" s="2" t="s">
        <v>14</v>
      </c>
      <c r="I47" s="2" t="b">
        <f>COUNTIF($L$2:$L$18, A47)&gt;0</f>
        <v>1</v>
      </c>
      <c r="J47" s="19" t="b">
        <f>COUNTIF($O$2:$O$95, A47)&gt;0</f>
        <v>1</v>
      </c>
      <c r="K47" s="9" t="b">
        <f>COUNTIF($R:$R, A47)&gt;0</f>
        <v>1</v>
      </c>
      <c r="O47" t="s">
        <v>99</v>
      </c>
      <c r="R47" s="10" t="s">
        <v>99</v>
      </c>
    </row>
    <row r="48" spans="1:18" ht="15.5">
      <c r="A48" s="17" t="s">
        <v>74</v>
      </c>
      <c r="B48" s="1" t="s">
        <v>9</v>
      </c>
      <c r="C48" s="1">
        <v>25</v>
      </c>
      <c r="D48" s="1" t="s">
        <v>10</v>
      </c>
      <c r="E48" s="1" t="s">
        <v>35</v>
      </c>
      <c r="F48" s="2" t="s">
        <v>20</v>
      </c>
      <c r="G48" s="1" t="s">
        <v>13</v>
      </c>
      <c r="H48" s="2" t="s">
        <v>14</v>
      </c>
      <c r="I48" s="2" t="b">
        <f>COUNTIF($L$2:$L$18, A48)&gt;0</f>
        <v>0</v>
      </c>
      <c r="J48" s="19" t="b">
        <f>COUNTIF($O$2:$O$95, A48)&gt;0</f>
        <v>1</v>
      </c>
      <c r="K48" s="9" t="b">
        <f>COUNTIF($R:$R, A48)&gt;0</f>
        <v>1</v>
      </c>
      <c r="O48" t="s">
        <v>100</v>
      </c>
      <c r="R48" s="10" t="s">
        <v>100</v>
      </c>
    </row>
    <row r="49" spans="1:18" ht="15.5">
      <c r="A49" s="17" t="s">
        <v>75</v>
      </c>
      <c r="B49" s="1" t="s">
        <v>16</v>
      </c>
      <c r="C49" s="1">
        <v>29</v>
      </c>
      <c r="D49" s="1" t="s">
        <v>10</v>
      </c>
      <c r="E49" s="1" t="s">
        <v>76</v>
      </c>
      <c r="F49" s="2" t="s">
        <v>17</v>
      </c>
      <c r="G49" s="1" t="s">
        <v>13</v>
      </c>
      <c r="H49" s="2" t="s">
        <v>14</v>
      </c>
      <c r="I49" s="2" t="b">
        <f>COUNTIF($L$2:$L$18, A49)&gt;0</f>
        <v>0</v>
      </c>
      <c r="J49" s="19" t="b">
        <f>COUNTIF($O$2:$O$95, A49)&gt;0</f>
        <v>1</v>
      </c>
      <c r="K49" s="9" t="b">
        <f>COUNTIF($R:$R, A49)&gt;0</f>
        <v>1</v>
      </c>
      <c r="O49" t="s">
        <v>101</v>
      </c>
      <c r="R49" s="10" t="s">
        <v>101</v>
      </c>
    </row>
    <row r="50" spans="1:18" ht="15.5">
      <c r="A50" s="17" t="s">
        <v>77</v>
      </c>
      <c r="B50" s="1" t="s">
        <v>16</v>
      </c>
      <c r="C50" s="1">
        <v>22</v>
      </c>
      <c r="D50" s="1" t="s">
        <v>10</v>
      </c>
      <c r="E50" s="1" t="s">
        <v>11</v>
      </c>
      <c r="F50" s="2" t="s">
        <v>20</v>
      </c>
      <c r="G50" s="1" t="s">
        <v>13</v>
      </c>
      <c r="H50" s="2" t="s">
        <v>14</v>
      </c>
      <c r="I50" s="2" t="b">
        <f>COUNTIF($L$2:$L$18, A50)&gt;0</f>
        <v>0</v>
      </c>
      <c r="J50" s="19" t="b">
        <f>COUNTIF($O$2:$O$95, A50)&gt;0</f>
        <v>1</v>
      </c>
      <c r="K50" s="9" t="b">
        <f>COUNTIF($R:$R, A50)&gt;0</f>
        <v>1</v>
      </c>
      <c r="O50" t="s">
        <v>102</v>
      </c>
      <c r="R50" s="10" t="s">
        <v>102</v>
      </c>
    </row>
    <row r="51" spans="1:18" ht="15.5">
      <c r="A51" s="17" t="s">
        <v>78</v>
      </c>
      <c r="B51" s="1" t="s">
        <v>16</v>
      </c>
      <c r="C51" s="1">
        <v>32</v>
      </c>
      <c r="D51" s="1" t="s">
        <v>10</v>
      </c>
      <c r="E51" s="1" t="s">
        <v>11</v>
      </c>
      <c r="F51" s="2" t="s">
        <v>20</v>
      </c>
      <c r="G51" s="1" t="s">
        <v>13</v>
      </c>
      <c r="H51" s="2" t="s">
        <v>14</v>
      </c>
      <c r="I51" s="2" t="b">
        <f>COUNTIF($L$2:$L$18, A51)&gt;0</f>
        <v>0</v>
      </c>
      <c r="J51" s="19" t="b">
        <f>COUNTIF($O$2:$O$95, A51)&gt;0</f>
        <v>1</v>
      </c>
      <c r="K51" s="9" t="b">
        <f>COUNTIF($R:$R, A51)&gt;0</f>
        <v>1</v>
      </c>
      <c r="O51" t="s">
        <v>103</v>
      </c>
      <c r="R51" s="10" t="s">
        <v>103</v>
      </c>
    </row>
    <row r="52" spans="1:18" ht="15.5">
      <c r="A52" s="17" t="s">
        <v>79</v>
      </c>
      <c r="B52" s="1" t="s">
        <v>16</v>
      </c>
      <c r="C52" s="1">
        <v>23</v>
      </c>
      <c r="D52" s="1" t="s">
        <v>10</v>
      </c>
      <c r="E52" s="1" t="s">
        <v>11</v>
      </c>
      <c r="F52" s="2" t="s">
        <v>20</v>
      </c>
      <c r="G52" s="1" t="s">
        <v>13</v>
      </c>
      <c r="H52" s="2" t="s">
        <v>14</v>
      </c>
      <c r="I52" s="2" t="b">
        <f>COUNTIF($L$2:$L$18, A52)&gt;0</f>
        <v>0</v>
      </c>
      <c r="J52" s="19" t="b">
        <f>COUNTIF($O$2:$O$95, A52)&gt;0</f>
        <v>1</v>
      </c>
      <c r="K52" s="9" t="b">
        <f>COUNTIF($R:$R, A52)&gt;0</f>
        <v>1</v>
      </c>
      <c r="O52" t="s">
        <v>104</v>
      </c>
      <c r="R52" s="10" t="s">
        <v>104</v>
      </c>
    </row>
    <row r="53" spans="1:18" ht="15.5">
      <c r="A53" s="17" t="s">
        <v>80</v>
      </c>
      <c r="B53" s="1" t="s">
        <v>16</v>
      </c>
      <c r="C53" s="1">
        <v>26</v>
      </c>
      <c r="D53" s="1" t="s">
        <v>10</v>
      </c>
      <c r="E53" s="1" t="s">
        <v>11</v>
      </c>
      <c r="F53" s="2" t="s">
        <v>17</v>
      </c>
      <c r="G53" s="1" t="s">
        <v>13</v>
      </c>
      <c r="H53" s="2" t="s">
        <v>14</v>
      </c>
      <c r="I53" s="2" t="b">
        <f>COUNTIF($L$2:$L$18, A53)&gt;0</f>
        <v>0</v>
      </c>
      <c r="J53" s="19" t="b">
        <f>COUNTIF($O$2:$O$95, A53)&gt;0</f>
        <v>1</v>
      </c>
      <c r="K53" s="9" t="b">
        <f>COUNTIF($R:$R, A53)&gt;0</f>
        <v>1</v>
      </c>
      <c r="O53" t="s">
        <v>107</v>
      </c>
      <c r="R53" s="10" t="s">
        <v>107</v>
      </c>
    </row>
    <row r="54" spans="1:18" ht="15.5">
      <c r="A54" s="17" t="s">
        <v>81</v>
      </c>
      <c r="B54" s="1" t="s">
        <v>9</v>
      </c>
      <c r="C54" s="1">
        <v>27</v>
      </c>
      <c r="D54" s="1" t="s">
        <v>10</v>
      </c>
      <c r="E54" s="1" t="s">
        <v>11</v>
      </c>
      <c r="F54" s="2" t="s">
        <v>20</v>
      </c>
      <c r="G54" s="1" t="s">
        <v>13</v>
      </c>
      <c r="H54" s="2" t="s">
        <v>14</v>
      </c>
      <c r="I54" s="2" t="b">
        <f>COUNTIF($L$2:$L$18, A54)&gt;0</f>
        <v>0</v>
      </c>
      <c r="J54" s="19" t="b">
        <f>COUNTIF($O$2:$O$95, A54)&gt;0</f>
        <v>0</v>
      </c>
      <c r="K54" s="9" t="b">
        <f>COUNTIF($R:$R, A54)&gt;0</f>
        <v>0</v>
      </c>
      <c r="O54" t="s">
        <v>109</v>
      </c>
      <c r="R54" s="10" t="s">
        <v>109</v>
      </c>
    </row>
    <row r="55" spans="1:18" ht="15.5">
      <c r="A55" s="1" t="s">
        <v>82</v>
      </c>
      <c r="B55" s="1" t="s">
        <v>16</v>
      </c>
      <c r="C55" s="1">
        <v>22</v>
      </c>
      <c r="D55" s="1" t="s">
        <v>10</v>
      </c>
      <c r="E55" s="1" t="s">
        <v>11</v>
      </c>
      <c r="F55" s="2" t="s">
        <v>20</v>
      </c>
      <c r="G55" s="1" t="s">
        <v>13</v>
      </c>
      <c r="H55" s="2" t="s">
        <v>14</v>
      </c>
      <c r="I55" s="2" t="b">
        <f>COUNTIF($L$2:$L$18, A55)&gt;0</f>
        <v>0</v>
      </c>
      <c r="J55" s="19" t="b">
        <f>COUNTIF($O$2:$O$95, A55)&gt;0</f>
        <v>0</v>
      </c>
      <c r="K55" s="9" t="b">
        <f>COUNTIF($R:$R, A55)&gt;0</f>
        <v>0</v>
      </c>
      <c r="O55" t="s">
        <v>111</v>
      </c>
      <c r="R55" s="10" t="s">
        <v>111</v>
      </c>
    </row>
    <row r="56" spans="1:18" ht="15.5">
      <c r="A56" s="17" t="s">
        <v>83</v>
      </c>
      <c r="B56" s="1" t="s">
        <v>16</v>
      </c>
      <c r="C56" s="1">
        <v>26</v>
      </c>
      <c r="D56" s="1" t="s">
        <v>10</v>
      </c>
      <c r="E56" s="1" t="s">
        <v>11</v>
      </c>
      <c r="F56" s="2" t="s">
        <v>20</v>
      </c>
      <c r="G56" s="1" t="s">
        <v>13</v>
      </c>
      <c r="H56" s="2" t="s">
        <v>14</v>
      </c>
      <c r="I56" s="2" t="b">
        <f>COUNTIF($L$2:$L$18, A56)&gt;0</f>
        <v>0</v>
      </c>
      <c r="J56" s="19" t="b">
        <f>COUNTIF($O$2:$O$95, A56)&gt;0</f>
        <v>1</v>
      </c>
      <c r="K56" s="9" t="b">
        <f>COUNTIF($R:$R, A56)&gt;0</f>
        <v>1</v>
      </c>
      <c r="O56" t="s">
        <v>116</v>
      </c>
      <c r="R56" s="10" t="s">
        <v>116</v>
      </c>
    </row>
    <row r="57" spans="1:18" ht="15.5">
      <c r="A57" s="17" t="s">
        <v>84</v>
      </c>
      <c r="B57" s="1" t="s">
        <v>16</v>
      </c>
      <c r="C57" s="1">
        <v>21</v>
      </c>
      <c r="D57" s="1" t="s">
        <v>10</v>
      </c>
      <c r="E57" s="1" t="s">
        <v>35</v>
      </c>
      <c r="F57" s="2" t="s">
        <v>20</v>
      </c>
      <c r="G57" s="1" t="s">
        <v>13</v>
      </c>
      <c r="H57" s="2" t="s">
        <v>14</v>
      </c>
      <c r="I57" s="2" t="b">
        <f>COUNTIF($L$2:$L$18, A57)&gt;0</f>
        <v>0</v>
      </c>
      <c r="J57" s="19" t="b">
        <f>COUNTIF($O$2:$O$95, A57)&gt;0</f>
        <v>1</v>
      </c>
      <c r="K57" s="9" t="b">
        <f>COUNTIF($R:$R, A57)&gt;0</f>
        <v>1</v>
      </c>
      <c r="O57" t="s">
        <v>117</v>
      </c>
      <c r="R57" s="10" t="s">
        <v>117</v>
      </c>
    </row>
    <row r="58" spans="1:18" ht="15.5">
      <c r="A58" s="17" t="s">
        <v>85</v>
      </c>
      <c r="B58" s="1" t="s">
        <v>16</v>
      </c>
      <c r="C58" s="1">
        <v>21</v>
      </c>
      <c r="D58" s="1" t="s">
        <v>10</v>
      </c>
      <c r="E58" s="1" t="s">
        <v>11</v>
      </c>
      <c r="F58" s="2" t="s">
        <v>28</v>
      </c>
      <c r="G58" s="1" t="s">
        <v>13</v>
      </c>
      <c r="H58" s="2" t="s">
        <v>14</v>
      </c>
      <c r="I58" s="2" t="b">
        <f>COUNTIF($L$2:$L$18, A58)&gt;0</f>
        <v>0</v>
      </c>
      <c r="J58" s="19" t="b">
        <f>COUNTIF($O$2:$O$95, A58)&gt;0</f>
        <v>1</v>
      </c>
      <c r="K58" s="9" t="b">
        <f>COUNTIF($R:$R, A58)&gt;0</f>
        <v>1</v>
      </c>
      <c r="O58" t="s">
        <v>118</v>
      </c>
      <c r="R58" s="10" t="s">
        <v>118</v>
      </c>
    </row>
    <row r="59" spans="1:18" ht="15.5">
      <c r="A59" s="17" t="s">
        <v>86</v>
      </c>
      <c r="B59" s="1" t="s">
        <v>16</v>
      </c>
      <c r="C59" s="1">
        <v>24</v>
      </c>
      <c r="D59" s="1" t="s">
        <v>10</v>
      </c>
      <c r="E59" s="1" t="s">
        <v>35</v>
      </c>
      <c r="F59" s="2" t="s">
        <v>20</v>
      </c>
      <c r="G59" s="1" t="s">
        <v>13</v>
      </c>
      <c r="H59" s="2" t="s">
        <v>14</v>
      </c>
      <c r="I59" s="2" t="b">
        <f>COUNTIF($L$2:$L$18, A59)&gt;0</f>
        <v>1</v>
      </c>
      <c r="J59" s="19" t="b">
        <f>COUNTIF($O$2:$O$95, A59)&gt;0</f>
        <v>1</v>
      </c>
      <c r="K59" s="9" t="b">
        <f>COUNTIF($R:$R, A59)&gt;0</f>
        <v>1</v>
      </c>
      <c r="O59" t="s">
        <v>120</v>
      </c>
      <c r="R59" s="10" t="s">
        <v>120</v>
      </c>
    </row>
    <row r="60" spans="1:18" ht="15.5">
      <c r="A60" s="17" t="s">
        <v>87</v>
      </c>
      <c r="B60" s="1" t="s">
        <v>16</v>
      </c>
      <c r="C60" s="1">
        <v>21</v>
      </c>
      <c r="D60" s="1" t="s">
        <v>10</v>
      </c>
      <c r="E60" s="1" t="s">
        <v>35</v>
      </c>
      <c r="F60" s="2" t="s">
        <v>28</v>
      </c>
      <c r="G60" s="1" t="s">
        <v>13</v>
      </c>
      <c r="H60" s="2" t="s">
        <v>14</v>
      </c>
      <c r="I60" s="2" t="b">
        <f>COUNTIF($L$2:$L$18, A60)&gt;0</f>
        <v>0</v>
      </c>
      <c r="J60" s="19" t="b">
        <f>COUNTIF($O$2:$O$95, A60)&gt;0</f>
        <v>1</v>
      </c>
      <c r="K60" s="9" t="b">
        <f>COUNTIF($R:$R, A60)&gt;0</f>
        <v>1</v>
      </c>
      <c r="O60" t="s">
        <v>121</v>
      </c>
      <c r="R60" s="10" t="s">
        <v>121</v>
      </c>
    </row>
    <row r="61" spans="1:18" ht="15.5">
      <c r="A61" s="17" t="s">
        <v>88</v>
      </c>
      <c r="B61" s="1" t="s">
        <v>16</v>
      </c>
      <c r="C61" s="1">
        <v>25</v>
      </c>
      <c r="D61" s="1" t="s">
        <v>10</v>
      </c>
      <c r="E61" s="1" t="s">
        <v>11</v>
      </c>
      <c r="F61" s="2" t="s">
        <v>20</v>
      </c>
      <c r="G61" s="1" t="s">
        <v>13</v>
      </c>
      <c r="H61" s="2" t="s">
        <v>14</v>
      </c>
      <c r="I61" s="2" t="b">
        <f>COUNTIF($L$2:$L$18, A61)&gt;0</f>
        <v>0</v>
      </c>
      <c r="J61" s="19" t="b">
        <f>COUNTIF($O$2:$O$95, A61)&gt;0</f>
        <v>1</v>
      </c>
      <c r="K61" s="9" t="b">
        <f>COUNTIF($R:$R, A61)&gt;0</f>
        <v>1</v>
      </c>
      <c r="O61" t="s">
        <v>122</v>
      </c>
      <c r="R61" s="10" t="s">
        <v>122</v>
      </c>
    </row>
    <row r="62" spans="1:18" ht="15.5">
      <c r="A62" s="17" t="s">
        <v>89</v>
      </c>
      <c r="B62" s="1" t="s">
        <v>16</v>
      </c>
      <c r="C62" s="1">
        <v>25</v>
      </c>
      <c r="D62" s="1" t="s">
        <v>10</v>
      </c>
      <c r="E62" s="1" t="s">
        <v>11</v>
      </c>
      <c r="F62" s="2" t="s">
        <v>12</v>
      </c>
      <c r="G62" s="1" t="s">
        <v>13</v>
      </c>
      <c r="H62" s="2" t="s">
        <v>14</v>
      </c>
      <c r="I62" s="2" t="b">
        <f>COUNTIF($L$2:$L$18, A62)&gt;0</f>
        <v>1</v>
      </c>
      <c r="J62" s="19" t="b">
        <f>COUNTIF($O$2:$O$95, A62)&gt;0</f>
        <v>1</v>
      </c>
      <c r="K62" s="9" t="b">
        <f>COUNTIF($R:$R, A62)&gt;0</f>
        <v>1</v>
      </c>
      <c r="O62" t="s">
        <v>127</v>
      </c>
      <c r="R62" s="10" t="s">
        <v>127</v>
      </c>
    </row>
    <row r="63" spans="1:18" ht="15.5">
      <c r="A63" s="17" t="s">
        <v>90</v>
      </c>
      <c r="B63" s="1" t="s">
        <v>16</v>
      </c>
      <c r="C63" s="1">
        <v>26</v>
      </c>
      <c r="D63" s="1" t="s">
        <v>10</v>
      </c>
      <c r="E63" s="1" t="s">
        <v>91</v>
      </c>
      <c r="F63" s="2" t="s">
        <v>20</v>
      </c>
      <c r="G63" s="1" t="s">
        <v>13</v>
      </c>
      <c r="H63" s="2" t="s">
        <v>14</v>
      </c>
      <c r="I63" s="2" t="b">
        <f>COUNTIF($L$2:$L$18, A63)&gt;0</f>
        <v>0</v>
      </c>
      <c r="J63" s="19" t="b">
        <f>COUNTIF($O$2:$O$95, A63)&gt;0</f>
        <v>1</v>
      </c>
      <c r="K63" s="9" t="b">
        <f>COUNTIF($R:$R, A63)&gt;0</f>
        <v>1</v>
      </c>
      <c r="O63" t="s">
        <v>129</v>
      </c>
      <c r="R63" s="10" t="s">
        <v>129</v>
      </c>
    </row>
    <row r="64" spans="1:18" ht="15.5">
      <c r="A64" s="17" t="s">
        <v>92</v>
      </c>
      <c r="B64" s="1" t="s">
        <v>9</v>
      </c>
      <c r="C64" s="1">
        <v>25</v>
      </c>
      <c r="D64" s="1" t="s">
        <v>10</v>
      </c>
      <c r="E64" s="1" t="s">
        <v>35</v>
      </c>
      <c r="F64" s="2" t="s">
        <v>20</v>
      </c>
      <c r="G64" s="1" t="s">
        <v>13</v>
      </c>
      <c r="H64" s="2" t="s">
        <v>14</v>
      </c>
      <c r="I64" s="2" t="b">
        <f>COUNTIF($L$2:$L$18, A64)&gt;0</f>
        <v>0</v>
      </c>
      <c r="J64" s="19" t="b">
        <f>COUNTIF($O$2:$O$95, A64)&gt;0</f>
        <v>1</v>
      </c>
      <c r="K64" s="9" t="b">
        <f>COUNTIF($R:$R, A64)&gt;0</f>
        <v>1</v>
      </c>
      <c r="O64" t="s">
        <v>131</v>
      </c>
      <c r="R64" s="10" t="s">
        <v>131</v>
      </c>
    </row>
    <row r="65" spans="1:18" ht="15.5">
      <c r="A65" s="17" t="s">
        <v>93</v>
      </c>
      <c r="B65" s="1" t="s">
        <v>16</v>
      </c>
      <c r="C65" s="1">
        <v>27</v>
      </c>
      <c r="D65" s="1" t="s">
        <v>10</v>
      </c>
      <c r="E65" s="1" t="s">
        <v>11</v>
      </c>
      <c r="F65" s="2" t="s">
        <v>17</v>
      </c>
      <c r="G65" s="1" t="s">
        <v>13</v>
      </c>
      <c r="H65" s="2" t="s">
        <v>94</v>
      </c>
      <c r="I65" s="2" t="b">
        <f>COUNTIF($L$2:$L$18, A65)&gt;0</f>
        <v>1</v>
      </c>
      <c r="J65" s="19" t="b">
        <f>COUNTIF($O$2:$O$95, A65)&gt;0</f>
        <v>1</v>
      </c>
      <c r="K65" s="9" t="b">
        <f>COUNTIF($R:$R, A65)&gt;0</f>
        <v>1</v>
      </c>
      <c r="O65" t="s">
        <v>133</v>
      </c>
      <c r="R65" s="10" t="s">
        <v>133</v>
      </c>
    </row>
    <row r="66" spans="1:18" ht="15.5">
      <c r="A66" s="1" t="s">
        <v>95</v>
      </c>
      <c r="B66" s="1" t="s">
        <v>16</v>
      </c>
      <c r="C66" s="1">
        <v>24</v>
      </c>
      <c r="D66" s="1" t="s">
        <v>10</v>
      </c>
      <c r="E66" s="1" t="s">
        <v>25</v>
      </c>
      <c r="F66" s="2" t="s">
        <v>20</v>
      </c>
      <c r="G66" s="1" t="s">
        <v>13</v>
      </c>
      <c r="H66" s="2" t="s">
        <v>14</v>
      </c>
      <c r="I66" s="2" t="b">
        <f>COUNTIF($L$2:$L$18, A66)&gt;0</f>
        <v>0</v>
      </c>
      <c r="J66" s="19" t="b">
        <f>COUNTIF($O$2:$O$95, A66)&gt;0</f>
        <v>0</v>
      </c>
      <c r="K66" s="9" t="b">
        <f>COUNTIF($R:$R, A66)&gt;0</f>
        <v>0</v>
      </c>
      <c r="O66" t="s">
        <v>134</v>
      </c>
      <c r="R66" s="10" t="s">
        <v>134</v>
      </c>
    </row>
    <row r="67" spans="1:18" ht="15.5">
      <c r="A67" s="17" t="s">
        <v>96</v>
      </c>
      <c r="B67" s="1" t="s">
        <v>9</v>
      </c>
      <c r="C67" s="1">
        <v>29</v>
      </c>
      <c r="D67" s="1" t="s">
        <v>10</v>
      </c>
      <c r="E67" s="1" t="s">
        <v>11</v>
      </c>
      <c r="F67" s="2" t="s">
        <v>20</v>
      </c>
      <c r="G67" s="1" t="s">
        <v>13</v>
      </c>
      <c r="H67" s="2" t="s">
        <v>14</v>
      </c>
      <c r="I67" s="2" t="b">
        <f>COUNTIF($L$2:$L$18, A67)&gt;0</f>
        <v>0</v>
      </c>
      <c r="J67" s="19" t="b">
        <f>COUNTIF($O$2:$O$95, A67)&gt;0</f>
        <v>1</v>
      </c>
      <c r="K67" s="9" t="b">
        <f>COUNTIF($R:$R, A67)&gt;0</f>
        <v>1</v>
      </c>
      <c r="O67" t="s">
        <v>137</v>
      </c>
      <c r="R67" s="10" t="s">
        <v>137</v>
      </c>
    </row>
    <row r="68" spans="1:18" ht="15.5">
      <c r="A68" s="17" t="s">
        <v>97</v>
      </c>
      <c r="B68" s="1" t="s">
        <v>9</v>
      </c>
      <c r="C68" s="1">
        <v>23</v>
      </c>
      <c r="D68" s="1" t="s">
        <v>10</v>
      </c>
      <c r="E68" s="1" t="s">
        <v>11</v>
      </c>
      <c r="F68" s="2" t="s">
        <v>20</v>
      </c>
      <c r="G68" s="1" t="s">
        <v>13</v>
      </c>
      <c r="H68" s="2" t="s">
        <v>14</v>
      </c>
      <c r="I68" s="2" t="b">
        <f>COUNTIF($L$2:$L$18, A68)&gt;0</f>
        <v>0</v>
      </c>
      <c r="J68" s="19" t="b">
        <f>COUNTIF($O$2:$O$95, A68)&gt;0</f>
        <v>1</v>
      </c>
      <c r="K68" s="9" t="b">
        <f>COUNTIF($R:$R, A68)&gt;0</f>
        <v>1</v>
      </c>
      <c r="O68" t="s">
        <v>139</v>
      </c>
      <c r="R68" s="10" t="s">
        <v>139</v>
      </c>
    </row>
    <row r="69" spans="1:18" ht="15.5">
      <c r="A69" s="17" t="s">
        <v>98</v>
      </c>
      <c r="B69" s="1" t="s">
        <v>16</v>
      </c>
      <c r="C69" s="1">
        <v>21</v>
      </c>
      <c r="D69" s="1" t="s">
        <v>10</v>
      </c>
      <c r="E69" s="1" t="s">
        <v>11</v>
      </c>
      <c r="F69" s="2" t="s">
        <v>28</v>
      </c>
      <c r="G69" s="1" t="s">
        <v>13</v>
      </c>
      <c r="H69" s="2" t="s">
        <v>14</v>
      </c>
      <c r="I69" s="2" t="b">
        <f>COUNTIF($L$2:$L$18, A69)&gt;0</f>
        <v>0</v>
      </c>
      <c r="J69" s="19" t="b">
        <f>COUNTIF($O$2:$O$95, A69)&gt;0</f>
        <v>1</v>
      </c>
      <c r="K69" s="9" t="b">
        <f>COUNTIF($R:$R, A69)&gt;0</f>
        <v>1</v>
      </c>
      <c r="O69" t="s">
        <v>142</v>
      </c>
      <c r="R69" s="10" t="s">
        <v>142</v>
      </c>
    </row>
    <row r="70" spans="1:18" ht="15.5">
      <c r="A70" s="17" t="s">
        <v>99</v>
      </c>
      <c r="B70" s="1" t="s">
        <v>16</v>
      </c>
      <c r="C70" s="1">
        <v>19</v>
      </c>
      <c r="D70" s="1" t="s">
        <v>10</v>
      </c>
      <c r="E70" s="1" t="s">
        <v>11</v>
      </c>
      <c r="F70" s="2" t="s">
        <v>28</v>
      </c>
      <c r="G70" s="1" t="s">
        <v>13</v>
      </c>
      <c r="H70" s="2" t="s">
        <v>14</v>
      </c>
      <c r="I70" s="2" t="b">
        <f>COUNTIF($L$2:$L$18, A70)&gt;0</f>
        <v>0</v>
      </c>
      <c r="J70" s="19" t="b">
        <f>COUNTIF($O$2:$O$95, A70)&gt;0</f>
        <v>1</v>
      </c>
      <c r="K70" s="9" t="b">
        <f>COUNTIF($R:$R, A70)&gt;0</f>
        <v>1</v>
      </c>
      <c r="O70" t="s">
        <v>143</v>
      </c>
      <c r="R70" s="10" t="s">
        <v>143</v>
      </c>
    </row>
    <row r="71" spans="1:18" ht="15.5">
      <c r="A71" s="17" t="s">
        <v>100</v>
      </c>
      <c r="B71" s="1" t="s">
        <v>9</v>
      </c>
      <c r="C71" s="1">
        <v>24</v>
      </c>
      <c r="D71" s="1" t="s">
        <v>10</v>
      </c>
      <c r="E71" s="1" t="s">
        <v>11</v>
      </c>
      <c r="F71" s="2" t="s">
        <v>20</v>
      </c>
      <c r="G71" s="1" t="s">
        <v>13</v>
      </c>
      <c r="H71" s="2" t="s">
        <v>14</v>
      </c>
      <c r="I71" s="2" t="b">
        <f>COUNTIF($L$2:$L$18, A71)&gt;0</f>
        <v>1</v>
      </c>
      <c r="J71" s="19" t="b">
        <f>COUNTIF($O$2:$O$95, A71)&gt;0</f>
        <v>1</v>
      </c>
      <c r="K71" s="9" t="b">
        <f>COUNTIF($R:$R, A71)&gt;0</f>
        <v>1</v>
      </c>
      <c r="O71" t="s">
        <v>145</v>
      </c>
      <c r="R71" s="10" t="s">
        <v>145</v>
      </c>
    </row>
    <row r="72" spans="1:18" ht="15.5">
      <c r="A72" s="17" t="s">
        <v>101</v>
      </c>
      <c r="B72" s="1" t="s">
        <v>9</v>
      </c>
      <c r="C72" s="1">
        <v>23</v>
      </c>
      <c r="D72" s="1" t="s">
        <v>10</v>
      </c>
      <c r="E72" s="1" t="s">
        <v>25</v>
      </c>
      <c r="F72" s="2" t="s">
        <v>20</v>
      </c>
      <c r="G72" s="1" t="s">
        <v>13</v>
      </c>
      <c r="H72" s="2" t="s">
        <v>14</v>
      </c>
      <c r="I72" s="2" t="b">
        <f>COUNTIF($L$2:$L$18, A72)&gt;0</f>
        <v>1</v>
      </c>
      <c r="J72" s="19" t="b">
        <f>COUNTIF($O$2:$O$95, A72)&gt;0</f>
        <v>1</v>
      </c>
      <c r="K72" s="9" t="b">
        <f>COUNTIF($R:$R, A72)&gt;0</f>
        <v>1</v>
      </c>
      <c r="O72" t="s">
        <v>146</v>
      </c>
      <c r="R72" s="10" t="s">
        <v>146</v>
      </c>
    </row>
    <row r="73" spans="1:18" ht="15.5">
      <c r="A73" s="17" t="s">
        <v>102</v>
      </c>
      <c r="B73" s="1" t="s">
        <v>16</v>
      </c>
      <c r="C73" s="1">
        <v>26</v>
      </c>
      <c r="D73" s="1" t="s">
        <v>10</v>
      </c>
      <c r="E73" s="1" t="s">
        <v>11</v>
      </c>
      <c r="F73" s="2" t="s">
        <v>20</v>
      </c>
      <c r="G73" s="1" t="s">
        <v>13</v>
      </c>
      <c r="H73" s="2" t="s">
        <v>14</v>
      </c>
      <c r="I73" s="2" t="b">
        <f>COUNTIF($L$2:$L$18, A73)&gt;0</f>
        <v>0</v>
      </c>
      <c r="J73" s="19" t="b">
        <f>COUNTIF($O$2:$O$95, A73)&gt;0</f>
        <v>1</v>
      </c>
      <c r="K73" s="9" t="b">
        <f>COUNTIF($R:$R, A73)&gt;0</f>
        <v>1</v>
      </c>
      <c r="O73" t="s">
        <v>147</v>
      </c>
      <c r="R73" s="10" t="s">
        <v>147</v>
      </c>
    </row>
    <row r="74" spans="1:18" ht="15.5">
      <c r="A74" s="17" t="s">
        <v>103</v>
      </c>
      <c r="B74" s="1" t="s">
        <v>9</v>
      </c>
      <c r="C74" s="1">
        <v>31</v>
      </c>
      <c r="D74" s="1" t="s">
        <v>30</v>
      </c>
      <c r="E74" s="1" t="s">
        <v>11</v>
      </c>
      <c r="F74" s="2" t="s">
        <v>12</v>
      </c>
      <c r="G74" s="1" t="s">
        <v>13</v>
      </c>
      <c r="H74" s="2" t="s">
        <v>14</v>
      </c>
      <c r="I74" s="2" t="b">
        <f>COUNTIF($L$2:$L$18, A74)&gt;0</f>
        <v>0</v>
      </c>
      <c r="J74" s="19" t="b">
        <f>COUNTIF($O$2:$O$95, A74)&gt;0</f>
        <v>1</v>
      </c>
      <c r="K74" s="9" t="b">
        <f>COUNTIF($R:$R, A74)&gt;0</f>
        <v>1</v>
      </c>
      <c r="O74" t="s">
        <v>148</v>
      </c>
      <c r="R74" s="10" t="s">
        <v>148</v>
      </c>
    </row>
    <row r="75" spans="1:18" ht="16" thickBot="1">
      <c r="A75" s="18" t="s">
        <v>104</v>
      </c>
      <c r="B75" s="3" t="s">
        <v>9</v>
      </c>
      <c r="C75" s="3">
        <v>26</v>
      </c>
      <c r="D75" s="3" t="s">
        <v>30</v>
      </c>
      <c r="E75" s="3" t="s">
        <v>11</v>
      </c>
      <c r="F75" s="4" t="s">
        <v>12</v>
      </c>
      <c r="G75" s="3" t="s">
        <v>13</v>
      </c>
      <c r="H75" s="2" t="s">
        <v>14</v>
      </c>
      <c r="I75" s="2" t="b">
        <f>COUNTIF($L$2:$L$18, A75)&gt;0</f>
        <v>0</v>
      </c>
      <c r="J75" s="19" t="b">
        <f>COUNTIF($O$2:$O$95, A75)&gt;0</f>
        <v>1</v>
      </c>
      <c r="K75" s="9" t="b">
        <f>COUNTIF($R:$R, A75)&gt;0</f>
        <v>1</v>
      </c>
      <c r="O75" t="s">
        <v>149</v>
      </c>
      <c r="R75" s="10" t="s">
        <v>149</v>
      </c>
    </row>
    <row r="76" spans="1:18" ht="16.5" thickTop="1">
      <c r="A76" s="17" t="s">
        <v>105</v>
      </c>
      <c r="B76" s="1" t="s">
        <v>9</v>
      </c>
      <c r="C76" s="1">
        <v>20</v>
      </c>
      <c r="D76" s="1" t="s">
        <v>30</v>
      </c>
      <c r="E76" s="1" t="s">
        <v>11</v>
      </c>
      <c r="F76" s="5" t="s">
        <v>106</v>
      </c>
      <c r="G76" s="1" t="s">
        <v>13</v>
      </c>
      <c r="H76" s="5" t="s">
        <v>14</v>
      </c>
      <c r="I76" s="2" t="b">
        <f>COUNTIF($L$2:$L$18, A76)&gt;0</f>
        <v>0</v>
      </c>
      <c r="J76" s="19" t="b">
        <f>COUNTIF($O$2:$O$95, A76)&gt;0</f>
        <v>0</v>
      </c>
      <c r="K76" s="9" t="b">
        <f>COUNTIF($R:$R, A76)&gt;0</f>
        <v>0</v>
      </c>
      <c r="O76" t="s">
        <v>150</v>
      </c>
      <c r="R76" s="10" t="s">
        <v>150</v>
      </c>
    </row>
    <row r="77" spans="1:18" ht="16">
      <c r="A77" s="17" t="s">
        <v>107</v>
      </c>
      <c r="B77" s="1" t="s">
        <v>9</v>
      </c>
      <c r="C77" s="1">
        <v>20</v>
      </c>
      <c r="D77" s="1" t="s">
        <v>10</v>
      </c>
      <c r="E77" s="1" t="s">
        <v>11</v>
      </c>
      <c r="F77" s="5" t="s">
        <v>108</v>
      </c>
      <c r="G77" s="1" t="s">
        <v>13</v>
      </c>
      <c r="H77" s="5" t="s">
        <v>14</v>
      </c>
      <c r="I77" s="2" t="b">
        <f>COUNTIF($L$2:$L$18, A77)&gt;0</f>
        <v>1</v>
      </c>
      <c r="J77" s="19" t="b">
        <f>COUNTIF($O$2:$O$95, A77)&gt;0</f>
        <v>1</v>
      </c>
      <c r="K77" s="9" t="b">
        <f>COUNTIF($R:$R, A77)&gt;0</f>
        <v>1</v>
      </c>
      <c r="O77" t="s">
        <v>151</v>
      </c>
      <c r="R77" s="10" t="s">
        <v>151</v>
      </c>
    </row>
    <row r="78" spans="1:18" ht="16">
      <c r="A78" s="17" t="s">
        <v>109</v>
      </c>
      <c r="B78" s="1" t="s">
        <v>9</v>
      </c>
      <c r="C78" s="1">
        <v>18</v>
      </c>
      <c r="D78" s="1" t="s">
        <v>10</v>
      </c>
      <c r="E78" s="1" t="s">
        <v>11</v>
      </c>
      <c r="F78" s="5" t="s">
        <v>108</v>
      </c>
      <c r="G78" s="1" t="s">
        <v>13</v>
      </c>
      <c r="H78" s="5" t="s">
        <v>14</v>
      </c>
      <c r="I78" s="2" t="b">
        <f>COUNTIF($L$2:$L$18, A78)&gt;0</f>
        <v>0</v>
      </c>
      <c r="J78" s="19" t="b">
        <f>COUNTIF($O$2:$O$95, A78)&gt;0</f>
        <v>1</v>
      </c>
      <c r="K78" s="9" t="b">
        <f>COUNTIF($R:$R, A78)&gt;0</f>
        <v>1</v>
      </c>
      <c r="O78" t="s">
        <v>153</v>
      </c>
      <c r="R78" s="10" t="s">
        <v>153</v>
      </c>
    </row>
    <row r="79" spans="1:18" ht="16">
      <c r="A79" s="17" t="s">
        <v>110</v>
      </c>
      <c r="B79" s="1" t="s">
        <v>16</v>
      </c>
      <c r="C79" s="1"/>
      <c r="D79" s="1"/>
      <c r="E79" s="1"/>
      <c r="F79" s="5" t="s">
        <v>108</v>
      </c>
      <c r="G79" s="1"/>
      <c r="H79" s="5" t="s">
        <v>14</v>
      </c>
      <c r="I79" s="2" t="b">
        <f>COUNTIF($L$2:$L$18, A79)&gt;0</f>
        <v>0</v>
      </c>
      <c r="J79" s="19" t="b">
        <f>COUNTIF($O$2:$O$95, A79)&gt;0</f>
        <v>0</v>
      </c>
      <c r="K79" s="9" t="b">
        <f>COUNTIF($R:$R, A79)&gt;0</f>
        <v>0</v>
      </c>
      <c r="O79" t="s">
        <v>154</v>
      </c>
      <c r="R79" s="10" t="s">
        <v>154</v>
      </c>
    </row>
    <row r="80" spans="1:18" ht="16">
      <c r="A80" s="17" t="s">
        <v>111</v>
      </c>
      <c r="B80" s="1" t="s">
        <v>16</v>
      </c>
      <c r="C80" s="1">
        <v>19</v>
      </c>
      <c r="D80" s="1" t="s">
        <v>10</v>
      </c>
      <c r="E80" s="1" t="s">
        <v>35</v>
      </c>
      <c r="F80" s="5" t="s">
        <v>112</v>
      </c>
      <c r="G80" s="1" t="s">
        <v>113</v>
      </c>
      <c r="H80" s="5" t="s">
        <v>14</v>
      </c>
      <c r="I80" s="2" t="b">
        <f>COUNTIF($L$2:$L$18, A80)&gt;0</f>
        <v>1</v>
      </c>
      <c r="J80" s="19" t="b">
        <f>COUNTIF($O$2:$O$95, A80)&gt;0</f>
        <v>1</v>
      </c>
      <c r="K80" s="9" t="b">
        <f>COUNTIF($R:$R, A80)&gt;0</f>
        <v>1</v>
      </c>
      <c r="O80" t="s">
        <v>155</v>
      </c>
      <c r="R80" s="10" t="s">
        <v>155</v>
      </c>
    </row>
    <row r="81" spans="1:18" ht="16">
      <c r="A81" s="17" t="s">
        <v>114</v>
      </c>
      <c r="B81" s="1" t="s">
        <v>9</v>
      </c>
      <c r="C81" s="1"/>
      <c r="D81" s="1"/>
      <c r="E81" s="1"/>
      <c r="F81" s="5"/>
      <c r="G81" s="1"/>
      <c r="H81" s="5"/>
      <c r="I81" s="2" t="b">
        <f>COUNTIF($L$2:$L$18, A81)&gt;0</f>
        <v>0</v>
      </c>
      <c r="J81" s="19" t="b">
        <f>COUNTIF($O$2:$O$95, A81)&gt;0</f>
        <v>0</v>
      </c>
      <c r="K81" s="9" t="b">
        <f>COUNTIF($R:$R, A81)&gt;0</f>
        <v>0</v>
      </c>
      <c r="O81" t="s">
        <v>156</v>
      </c>
      <c r="R81" s="10" t="s">
        <v>156</v>
      </c>
    </row>
    <row r="82" spans="1:18" ht="16">
      <c r="A82" s="17" t="s">
        <v>115</v>
      </c>
      <c r="B82" s="1" t="s">
        <v>16</v>
      </c>
      <c r="C82" s="1"/>
      <c r="D82" s="1"/>
      <c r="E82" s="1"/>
      <c r="F82" s="5" t="s">
        <v>112</v>
      </c>
      <c r="G82" s="1"/>
      <c r="H82" s="5" t="s">
        <v>94</v>
      </c>
      <c r="I82" s="2" t="b">
        <f>COUNTIF($L$2:$L$18, A82)&gt;0</f>
        <v>0</v>
      </c>
      <c r="J82" s="19" t="b">
        <f>COUNTIF($O$2:$O$95, A82)&gt;0</f>
        <v>0</v>
      </c>
      <c r="K82" s="9" t="b">
        <f>COUNTIF($R:$R, A82)&gt;0</f>
        <v>0</v>
      </c>
      <c r="O82" t="s">
        <v>157</v>
      </c>
      <c r="R82" s="10" t="s">
        <v>157</v>
      </c>
    </row>
    <row r="83" spans="1:18" ht="16">
      <c r="A83" s="17" t="s">
        <v>116</v>
      </c>
      <c r="B83" s="1" t="s">
        <v>16</v>
      </c>
      <c r="C83" s="1">
        <v>20</v>
      </c>
      <c r="D83" s="1" t="s">
        <v>10</v>
      </c>
      <c r="E83" s="1" t="s">
        <v>11</v>
      </c>
      <c r="F83" s="5" t="s">
        <v>108</v>
      </c>
      <c r="G83" s="1" t="s">
        <v>13</v>
      </c>
      <c r="H83" s="5" t="s">
        <v>14</v>
      </c>
      <c r="I83" s="2" t="b">
        <f>COUNTIF($L$2:$L$18, A83)&gt;0</f>
        <v>1</v>
      </c>
      <c r="J83" s="19" t="b">
        <f>COUNTIF($O$2:$O$95, A83)&gt;0</f>
        <v>1</v>
      </c>
      <c r="K83" s="9" t="b">
        <f>COUNTIF($R:$R, A83)&gt;0</f>
        <v>1</v>
      </c>
      <c r="O83" t="s">
        <v>158</v>
      </c>
      <c r="R83" s="10" t="s">
        <v>158</v>
      </c>
    </row>
    <row r="84" spans="1:18" ht="16">
      <c r="A84" s="17" t="s">
        <v>117</v>
      </c>
      <c r="B84" s="1" t="s">
        <v>16</v>
      </c>
      <c r="C84" s="1">
        <v>19</v>
      </c>
      <c r="D84" s="1" t="s">
        <v>10</v>
      </c>
      <c r="E84" s="1" t="s">
        <v>25</v>
      </c>
      <c r="F84" s="5" t="s">
        <v>108</v>
      </c>
      <c r="G84" s="1" t="s">
        <v>13</v>
      </c>
      <c r="H84" s="5" t="s">
        <v>14</v>
      </c>
      <c r="I84" s="2" t="b">
        <f>COUNTIF($L$2:$L$18, A84)&gt;0</f>
        <v>0</v>
      </c>
      <c r="J84" s="19" t="b">
        <f>COUNTIF($O$2:$O$95, A84)&gt;0</f>
        <v>1</v>
      </c>
      <c r="K84" s="9" t="b">
        <f>COUNTIF($R:$R, A84)&gt;0</f>
        <v>1</v>
      </c>
      <c r="O84" t="s">
        <v>159</v>
      </c>
      <c r="R84" s="10" t="s">
        <v>159</v>
      </c>
    </row>
    <row r="85" spans="1:18" ht="16">
      <c r="A85" s="17" t="s">
        <v>118</v>
      </c>
      <c r="B85" s="1" t="s">
        <v>16</v>
      </c>
      <c r="C85" s="1">
        <v>21</v>
      </c>
      <c r="D85" s="1" t="s">
        <v>10</v>
      </c>
      <c r="E85" s="1" t="s">
        <v>119</v>
      </c>
      <c r="F85" s="5" t="s">
        <v>108</v>
      </c>
      <c r="G85" s="1" t="s">
        <v>13</v>
      </c>
      <c r="H85" s="5" t="s">
        <v>14</v>
      </c>
      <c r="I85" s="2" t="b">
        <f>COUNTIF($L$2:$L$18, A85)&gt;0</f>
        <v>0</v>
      </c>
      <c r="J85" s="19" t="b">
        <f>COUNTIF($O$2:$O$95, A85)&gt;0</f>
        <v>1</v>
      </c>
      <c r="K85" s="9" t="b">
        <f>COUNTIF($R:$R, A85)&gt;0</f>
        <v>1</v>
      </c>
      <c r="O85" t="s">
        <v>160</v>
      </c>
      <c r="R85" s="10" t="s">
        <v>160</v>
      </c>
    </row>
    <row r="86" spans="1:18" ht="16">
      <c r="A86" s="17" t="s">
        <v>120</v>
      </c>
      <c r="B86" s="1" t="s">
        <v>9</v>
      </c>
      <c r="C86" s="1">
        <v>19</v>
      </c>
      <c r="D86" s="1" t="s">
        <v>30</v>
      </c>
      <c r="E86" s="1" t="s">
        <v>11</v>
      </c>
      <c r="F86" s="5" t="s">
        <v>108</v>
      </c>
      <c r="G86" s="1" t="s">
        <v>13</v>
      </c>
      <c r="H86" s="5" t="s">
        <v>14</v>
      </c>
      <c r="I86" s="2" t="b">
        <f>COUNTIF($L$2:$L$18, A86)&gt;0</f>
        <v>0</v>
      </c>
      <c r="J86" s="19" t="b">
        <f>COUNTIF($O$2:$O$95, A86)&gt;0</f>
        <v>1</v>
      </c>
      <c r="K86" s="9" t="b">
        <f>COUNTIF($R:$R, A86)&gt;0</f>
        <v>1</v>
      </c>
      <c r="O86" t="s">
        <v>161</v>
      </c>
      <c r="R86" s="10" t="s">
        <v>161</v>
      </c>
    </row>
    <row r="87" spans="1:18" ht="16">
      <c r="A87" s="17" t="s">
        <v>121</v>
      </c>
      <c r="B87" s="1" t="s">
        <v>9</v>
      </c>
      <c r="C87" s="1">
        <v>20</v>
      </c>
      <c r="D87" s="1" t="s">
        <v>30</v>
      </c>
      <c r="E87" s="1" t="s">
        <v>11</v>
      </c>
      <c r="F87" s="5" t="s">
        <v>108</v>
      </c>
      <c r="G87" s="1" t="s">
        <v>13</v>
      </c>
      <c r="H87" s="5" t="s">
        <v>14</v>
      </c>
      <c r="I87" s="2" t="b">
        <f>COUNTIF($L$2:$L$18, A87)&gt;0</f>
        <v>1</v>
      </c>
      <c r="J87" s="19" t="b">
        <f>COUNTIF($O$2:$O$95, A87)&gt;0</f>
        <v>1</v>
      </c>
      <c r="K87" s="9" t="b">
        <f>COUNTIF($R:$R, A87)&gt;0</f>
        <v>1</v>
      </c>
      <c r="O87" t="s">
        <v>162</v>
      </c>
      <c r="R87" s="10" t="s">
        <v>162</v>
      </c>
    </row>
    <row r="88" spans="1:18" ht="16">
      <c r="A88" s="17" t="s">
        <v>122</v>
      </c>
      <c r="B88" s="1" t="s">
        <v>16</v>
      </c>
      <c r="C88" s="1">
        <v>20</v>
      </c>
      <c r="D88" s="1" t="s">
        <v>10</v>
      </c>
      <c r="E88" s="1" t="s">
        <v>25</v>
      </c>
      <c r="F88" s="5" t="s">
        <v>112</v>
      </c>
      <c r="G88" s="1" t="s">
        <v>123</v>
      </c>
      <c r="H88" s="5" t="s">
        <v>14</v>
      </c>
      <c r="I88" s="2" t="b">
        <f>COUNTIF($L$2:$L$18, A88)&gt;0</f>
        <v>0</v>
      </c>
      <c r="J88" s="19" t="b">
        <f>COUNTIF($O$2:$O$95, A88)&gt;0</f>
        <v>1</v>
      </c>
      <c r="K88" s="9" t="b">
        <f>COUNTIF($R:$R, A88)&gt;0</f>
        <v>1</v>
      </c>
      <c r="O88" t="s">
        <v>163</v>
      </c>
      <c r="R88" s="10" t="s">
        <v>163</v>
      </c>
    </row>
    <row r="89" spans="1:18" ht="16">
      <c r="A89" s="17" t="s">
        <v>124</v>
      </c>
      <c r="B89" s="1" t="s">
        <v>16</v>
      </c>
      <c r="C89" s="1">
        <v>22</v>
      </c>
      <c r="D89" s="1" t="s">
        <v>30</v>
      </c>
      <c r="E89" s="1" t="s">
        <v>125</v>
      </c>
      <c r="F89" s="5" t="s">
        <v>108</v>
      </c>
      <c r="G89" s="1" t="s">
        <v>13</v>
      </c>
      <c r="H89" s="5" t="s">
        <v>14</v>
      </c>
      <c r="I89" s="2" t="b">
        <f>COUNTIF($L$2:$L$18, A89)&gt;0</f>
        <v>0</v>
      </c>
      <c r="J89" s="19" t="b">
        <f>COUNTIF($O$2:$O$95, A89)&gt;0</f>
        <v>0</v>
      </c>
      <c r="K89" s="9" t="b">
        <f>COUNTIF($R:$R, A89)&gt;0</f>
        <v>0</v>
      </c>
      <c r="O89" t="s">
        <v>164</v>
      </c>
      <c r="R89" s="10" t="s">
        <v>164</v>
      </c>
    </row>
    <row r="90" spans="1:18" ht="16">
      <c r="A90" s="17" t="s">
        <v>126</v>
      </c>
      <c r="B90" s="1" t="s">
        <v>16</v>
      </c>
      <c r="C90" s="1">
        <v>21</v>
      </c>
      <c r="D90" s="1" t="s">
        <v>30</v>
      </c>
      <c r="E90" s="1" t="s">
        <v>11</v>
      </c>
      <c r="F90" s="5" t="s">
        <v>108</v>
      </c>
      <c r="G90" s="1" t="s">
        <v>13</v>
      </c>
      <c r="H90" s="5" t="s">
        <v>14</v>
      </c>
      <c r="I90" s="2" t="b">
        <f>COUNTIF($L$2:$L$18, A90)&gt;0</f>
        <v>0</v>
      </c>
      <c r="J90" s="19" t="b">
        <f>COUNTIF($O$2:$O$95, A90)&gt;0</f>
        <v>0</v>
      </c>
      <c r="K90" s="9" t="b">
        <f>COUNTIF($R:$R, A90)&gt;0</f>
        <v>0</v>
      </c>
      <c r="O90" t="s">
        <v>165</v>
      </c>
      <c r="R90" s="10" t="s">
        <v>165</v>
      </c>
    </row>
    <row r="91" spans="1:18" ht="16">
      <c r="A91" s="17" t="s">
        <v>127</v>
      </c>
      <c r="B91" s="1" t="s">
        <v>9</v>
      </c>
      <c r="C91" s="1">
        <v>22</v>
      </c>
      <c r="D91" s="1" t="s">
        <v>10</v>
      </c>
      <c r="E91" s="1" t="s">
        <v>11</v>
      </c>
      <c r="F91" s="5" t="s">
        <v>108</v>
      </c>
      <c r="G91" s="1" t="s">
        <v>13</v>
      </c>
      <c r="H91" s="5" t="s">
        <v>14</v>
      </c>
      <c r="I91" s="2" t="b">
        <f>COUNTIF($L$2:$L$18, A91)&gt;0</f>
        <v>0</v>
      </c>
      <c r="J91" s="19" t="b">
        <f>COUNTIF($O$2:$O$95, A91)&gt;0</f>
        <v>1</v>
      </c>
      <c r="K91" s="9" t="b">
        <f>COUNTIF($R:$R, A91)&gt;0</f>
        <v>1</v>
      </c>
      <c r="O91" t="s">
        <v>166</v>
      </c>
      <c r="R91" s="10" t="s">
        <v>166</v>
      </c>
    </row>
    <row r="92" spans="1:18" ht="16">
      <c r="A92" s="17" t="s">
        <v>128</v>
      </c>
      <c r="B92" s="1" t="s">
        <v>9</v>
      </c>
      <c r="C92" s="1">
        <v>20</v>
      </c>
      <c r="D92" s="1" t="s">
        <v>10</v>
      </c>
      <c r="E92" s="1" t="s">
        <v>35</v>
      </c>
      <c r="F92" s="5" t="s">
        <v>112</v>
      </c>
      <c r="G92" s="1" t="s">
        <v>13</v>
      </c>
      <c r="H92" s="5" t="s">
        <v>14</v>
      </c>
      <c r="I92" s="2" t="b">
        <f>COUNTIF($L$2:$L$18, A92)&gt;0</f>
        <v>0</v>
      </c>
      <c r="J92" s="19" t="b">
        <f>COUNTIF($O$2:$O$95, A92)&gt;0</f>
        <v>0</v>
      </c>
      <c r="K92" s="9" t="b">
        <f>COUNTIF($R:$R, A92)&gt;0</f>
        <v>0</v>
      </c>
      <c r="O92" t="s">
        <v>167</v>
      </c>
      <c r="R92" s="10" t="s">
        <v>167</v>
      </c>
    </row>
    <row r="93" spans="1:18" ht="16">
      <c r="A93" s="17" t="s">
        <v>129</v>
      </c>
      <c r="B93" s="1" t="s">
        <v>16</v>
      </c>
      <c r="C93" s="1">
        <v>30</v>
      </c>
      <c r="D93" s="1" t="s">
        <v>10</v>
      </c>
      <c r="E93" s="1" t="s">
        <v>11</v>
      </c>
      <c r="F93" s="5" t="s">
        <v>130</v>
      </c>
      <c r="G93" s="1" t="s">
        <v>13</v>
      </c>
      <c r="H93" s="5" t="s">
        <v>14</v>
      </c>
      <c r="I93" s="2" t="b">
        <f>COUNTIF($L$2:$L$18, A93)&gt;0</f>
        <v>0</v>
      </c>
      <c r="J93" s="19" t="b">
        <f>COUNTIF($O$2:$O$95, A93)&gt;0</f>
        <v>1</v>
      </c>
      <c r="K93" s="9" t="b">
        <f>COUNTIF($R:$R, A93)&gt;0</f>
        <v>1</v>
      </c>
      <c r="O93" t="s">
        <v>168</v>
      </c>
      <c r="R93" s="10" t="s">
        <v>168</v>
      </c>
    </row>
    <row r="94" spans="1:18" ht="16">
      <c r="A94" s="17" t="s">
        <v>131</v>
      </c>
      <c r="B94" s="1" t="s">
        <v>9</v>
      </c>
      <c r="C94" s="1">
        <v>24</v>
      </c>
      <c r="D94" s="1" t="s">
        <v>10</v>
      </c>
      <c r="E94" s="1" t="s">
        <v>11</v>
      </c>
      <c r="F94" s="5" t="s">
        <v>132</v>
      </c>
      <c r="G94" s="1" t="s">
        <v>13</v>
      </c>
      <c r="H94" s="5" t="s">
        <v>14</v>
      </c>
      <c r="I94" s="2" t="b">
        <f>COUNTIF($L$2:$L$18, A94)&gt;0</f>
        <v>0</v>
      </c>
      <c r="J94" s="19" t="b">
        <f>COUNTIF($O$2:$O$95, A94)&gt;0</f>
        <v>1</v>
      </c>
      <c r="K94" s="9" t="b">
        <f>COUNTIF($R:$R, A94)&gt;0</f>
        <v>1</v>
      </c>
      <c r="O94" t="s">
        <v>169</v>
      </c>
      <c r="R94" s="10" t="s">
        <v>169</v>
      </c>
    </row>
    <row r="95" spans="1:18" ht="16">
      <c r="A95" s="17" t="s">
        <v>133</v>
      </c>
      <c r="B95" s="1" t="s">
        <v>9</v>
      </c>
      <c r="C95" s="1">
        <v>22</v>
      </c>
      <c r="D95" s="1" t="s">
        <v>10</v>
      </c>
      <c r="E95" s="1" t="s">
        <v>11</v>
      </c>
      <c r="F95" s="5" t="s">
        <v>132</v>
      </c>
      <c r="G95" s="1" t="s">
        <v>13</v>
      </c>
      <c r="H95" s="5" t="s">
        <v>14</v>
      </c>
      <c r="I95" s="2" t="b">
        <f>COUNTIF($L$2:$L$18, A95)&gt;0</f>
        <v>0</v>
      </c>
      <c r="J95" s="19" t="b">
        <f>COUNTIF($O$2:$O$95, A95)&gt;0</f>
        <v>1</v>
      </c>
      <c r="K95" s="9" t="b">
        <f>COUNTIF($R:$R, A95)&gt;0</f>
        <v>1</v>
      </c>
      <c r="O95" t="s">
        <v>170</v>
      </c>
      <c r="R95" s="10" t="s">
        <v>170</v>
      </c>
    </row>
    <row r="96" spans="1:18" ht="16">
      <c r="A96" s="17" t="s">
        <v>134</v>
      </c>
      <c r="B96" s="1" t="s">
        <v>9</v>
      </c>
      <c r="C96" s="1">
        <v>32</v>
      </c>
      <c r="D96" s="1" t="s">
        <v>30</v>
      </c>
      <c r="E96" s="1" t="s">
        <v>125</v>
      </c>
      <c r="F96" s="5" t="s">
        <v>130</v>
      </c>
      <c r="G96" s="1" t="s">
        <v>32</v>
      </c>
      <c r="H96" s="5" t="s">
        <v>14</v>
      </c>
      <c r="I96" s="2" t="b">
        <f>COUNTIF($L$2:$L$18, A96)&gt;0</f>
        <v>0</v>
      </c>
      <c r="J96" s="19" t="b">
        <f>COUNTIF($O$2:$O$95, A96)&gt;0</f>
        <v>1</v>
      </c>
      <c r="K96" s="9" t="b">
        <f>COUNTIF($R:$R, A96)&gt;0</f>
        <v>1</v>
      </c>
    </row>
    <row r="97" spans="1:11" ht="16">
      <c r="A97" s="17" t="s">
        <v>135</v>
      </c>
      <c r="B97" s="1" t="s">
        <v>9</v>
      </c>
      <c r="C97" s="1">
        <v>34</v>
      </c>
      <c r="D97" s="1" t="s">
        <v>10</v>
      </c>
      <c r="E97" s="1" t="s">
        <v>11</v>
      </c>
      <c r="F97" s="5" t="s">
        <v>130</v>
      </c>
      <c r="G97" s="1" t="s">
        <v>13</v>
      </c>
      <c r="H97" s="5" t="s">
        <v>14</v>
      </c>
      <c r="I97" s="2" t="b">
        <f>COUNTIF($L$2:$L$18, A97)&gt;0</f>
        <v>0</v>
      </c>
      <c r="J97" s="19" t="b">
        <f>COUNTIF($O$2:$O$95, A97)&gt;0</f>
        <v>0</v>
      </c>
      <c r="K97" s="9" t="b">
        <f>COUNTIF($R:$R, A97)&gt;0</f>
        <v>0</v>
      </c>
    </row>
    <row r="98" spans="1:11" ht="16">
      <c r="A98" s="17" t="s">
        <v>136</v>
      </c>
      <c r="B98" s="1" t="s">
        <v>9</v>
      </c>
      <c r="C98" s="1">
        <v>21</v>
      </c>
      <c r="D98" s="1" t="s">
        <v>10</v>
      </c>
      <c r="E98" s="1" t="s">
        <v>11</v>
      </c>
      <c r="F98" s="5" t="s">
        <v>108</v>
      </c>
      <c r="G98" s="1" t="s">
        <v>13</v>
      </c>
      <c r="H98" s="5" t="s">
        <v>14</v>
      </c>
      <c r="I98" s="2" t="b">
        <f>COUNTIF($L$2:$L$18, A98)&gt;0</f>
        <v>0</v>
      </c>
      <c r="J98" s="19" t="b">
        <f>COUNTIF($O$2:$O$95, A98)&gt;0</f>
        <v>0</v>
      </c>
      <c r="K98" s="9" t="b">
        <f>COUNTIF($R:$R, A98)&gt;0</f>
        <v>0</v>
      </c>
    </row>
    <row r="99" spans="1:11" ht="16">
      <c r="A99" s="17" t="s">
        <v>137</v>
      </c>
      <c r="B99" s="1" t="s">
        <v>16</v>
      </c>
      <c r="C99" s="1">
        <v>30</v>
      </c>
      <c r="D99" s="1" t="s">
        <v>10</v>
      </c>
      <c r="E99" s="1" t="s">
        <v>11</v>
      </c>
      <c r="F99" s="5" t="s">
        <v>130</v>
      </c>
      <c r="G99" s="1" t="s">
        <v>13</v>
      </c>
      <c r="H99" s="5" t="s">
        <v>14</v>
      </c>
      <c r="I99" s="2" t="b">
        <f>COUNTIF($L$2:$L$18, A99)&gt;0</f>
        <v>0</v>
      </c>
      <c r="J99" s="19" t="b">
        <f>COUNTIF($O$2:$O$95, A99)&gt;0</f>
        <v>1</v>
      </c>
      <c r="K99" s="9" t="b">
        <f>COUNTIF($R:$R, A99)&gt;0</f>
        <v>1</v>
      </c>
    </row>
    <row r="100" spans="1:11" ht="16">
      <c r="A100" s="17" t="s">
        <v>138</v>
      </c>
      <c r="B100" s="1" t="s">
        <v>16</v>
      </c>
      <c r="C100" s="1">
        <v>19</v>
      </c>
      <c r="D100" s="1" t="s">
        <v>10</v>
      </c>
      <c r="E100" s="1" t="s">
        <v>25</v>
      </c>
      <c r="F100" s="5"/>
      <c r="G100" s="1" t="s">
        <v>13</v>
      </c>
      <c r="H100" s="5"/>
      <c r="I100" s="2" t="b">
        <f>COUNTIF($L$2:$L$18, A100)&gt;0</f>
        <v>0</v>
      </c>
      <c r="J100" s="19" t="b">
        <f>COUNTIF($O$2:$O$95, A100)&gt;0</f>
        <v>0</v>
      </c>
      <c r="K100" s="9" t="b">
        <f>COUNTIF($R:$R, A100)&gt;0</f>
        <v>0</v>
      </c>
    </row>
    <row r="101" spans="1:11" ht="16">
      <c r="A101" s="17" t="s">
        <v>139</v>
      </c>
      <c r="B101" s="1" t="s">
        <v>16</v>
      </c>
      <c r="C101" s="1">
        <v>24</v>
      </c>
      <c r="D101" s="1" t="s">
        <v>10</v>
      </c>
      <c r="E101" s="1" t="s">
        <v>25</v>
      </c>
      <c r="F101" s="5" t="s">
        <v>132</v>
      </c>
      <c r="G101" s="1" t="s">
        <v>140</v>
      </c>
      <c r="H101" s="5" t="s">
        <v>14</v>
      </c>
      <c r="I101" s="2" t="b">
        <f>COUNTIF($L$2:$L$18, A101)&gt;0</f>
        <v>0</v>
      </c>
      <c r="J101" s="19" t="b">
        <f>COUNTIF($O$2:$O$95, A101)&gt;0</f>
        <v>1</v>
      </c>
      <c r="K101" s="9" t="b">
        <f>COUNTIF($R:$R, A101)&gt;0</f>
        <v>1</v>
      </c>
    </row>
    <row r="102" spans="1:11" ht="16">
      <c r="A102" s="17" t="s">
        <v>141</v>
      </c>
      <c r="B102" s="1" t="s">
        <v>16</v>
      </c>
      <c r="C102" s="1">
        <v>23</v>
      </c>
      <c r="D102" s="1" t="s">
        <v>10</v>
      </c>
      <c r="E102" s="1" t="s">
        <v>11</v>
      </c>
      <c r="F102" s="5" t="s">
        <v>112</v>
      </c>
      <c r="G102" s="1" t="s">
        <v>13</v>
      </c>
      <c r="H102" s="5" t="s">
        <v>14</v>
      </c>
      <c r="I102" s="2" t="b">
        <f>COUNTIF($L$2:$L$18, A102)&gt;0</f>
        <v>0</v>
      </c>
      <c r="J102" s="19" t="b">
        <f>COUNTIF($O$2:$O$95, A102)&gt;0</f>
        <v>0</v>
      </c>
      <c r="K102" s="9" t="b">
        <f>COUNTIF($R:$R, A102)&gt;0</f>
        <v>0</v>
      </c>
    </row>
    <row r="103" spans="1:11" ht="16">
      <c r="A103" s="17" t="s">
        <v>142</v>
      </c>
      <c r="B103" s="1" t="s">
        <v>9</v>
      </c>
      <c r="C103" s="1">
        <v>23</v>
      </c>
      <c r="D103" s="1" t="s">
        <v>10</v>
      </c>
      <c r="E103" s="1" t="s">
        <v>11</v>
      </c>
      <c r="F103" s="5" t="s">
        <v>132</v>
      </c>
      <c r="G103" s="1" t="s">
        <v>13</v>
      </c>
      <c r="H103" s="5" t="s">
        <v>14</v>
      </c>
      <c r="I103" s="2" t="b">
        <f>COUNTIF($L$2:$L$18, A103)&gt;0</f>
        <v>0</v>
      </c>
      <c r="J103" s="19" t="b">
        <f>COUNTIF($O$2:$O$95, A103)&gt;0</f>
        <v>1</v>
      </c>
      <c r="K103" s="9" t="b">
        <f>COUNTIF($R:$R, A103)&gt;0</f>
        <v>1</v>
      </c>
    </row>
    <row r="104" spans="1:11" ht="16">
      <c r="A104" s="17" t="s">
        <v>143</v>
      </c>
      <c r="B104" s="1" t="s">
        <v>9</v>
      </c>
      <c r="C104" s="1">
        <v>20</v>
      </c>
      <c r="D104" s="6" t="s">
        <v>10</v>
      </c>
      <c r="E104" s="1" t="s">
        <v>25</v>
      </c>
      <c r="F104" s="5" t="s">
        <v>112</v>
      </c>
      <c r="G104" s="1"/>
      <c r="H104" s="5" t="s">
        <v>14</v>
      </c>
      <c r="I104" s="2" t="b">
        <f>COUNTIF($L$2:$L$18, A104)&gt;0</f>
        <v>0</v>
      </c>
      <c r="J104" s="19" t="b">
        <f>COUNTIF($O$2:$O$95, A104)&gt;0</f>
        <v>1</v>
      </c>
      <c r="K104" s="9" t="b">
        <f>COUNTIF($R:$R, A104)&gt;0</f>
        <v>1</v>
      </c>
    </row>
    <row r="105" spans="1:11" ht="16">
      <c r="A105" s="17" t="s">
        <v>144</v>
      </c>
      <c r="B105" s="1" t="s">
        <v>16</v>
      </c>
      <c r="C105" s="1">
        <v>20</v>
      </c>
      <c r="D105" s="6" t="s">
        <v>10</v>
      </c>
      <c r="E105" s="1" t="s">
        <v>11</v>
      </c>
      <c r="F105" s="5" t="s">
        <v>108</v>
      </c>
      <c r="G105" s="1"/>
      <c r="H105" s="5" t="s">
        <v>14</v>
      </c>
      <c r="I105" s="2" t="b">
        <f>COUNTIF($L$2:$L$18, A105)&gt;0</f>
        <v>0</v>
      </c>
      <c r="J105" s="19" t="b">
        <f>COUNTIF($O$2:$O$95, A105)&gt;0</f>
        <v>0</v>
      </c>
      <c r="K105" s="9" t="b">
        <f>COUNTIF($R:$R, A105)&gt;0</f>
        <v>0</v>
      </c>
    </row>
    <row r="106" spans="1:11" ht="16">
      <c r="A106" s="17" t="s">
        <v>145</v>
      </c>
      <c r="B106" s="1" t="s">
        <v>9</v>
      </c>
      <c r="C106" s="1">
        <v>32</v>
      </c>
      <c r="D106" s="6" t="s">
        <v>10</v>
      </c>
      <c r="E106" s="1" t="s">
        <v>11</v>
      </c>
      <c r="F106" s="5" t="s">
        <v>132</v>
      </c>
      <c r="G106" s="1"/>
      <c r="H106" s="5" t="s">
        <v>14</v>
      </c>
      <c r="I106" s="2" t="b">
        <f>COUNTIF($L$2:$L$18, A106)&gt;0</f>
        <v>0</v>
      </c>
      <c r="J106" s="19" t="b">
        <f>COUNTIF($O$2:$O$95, A106)&gt;0</f>
        <v>1</v>
      </c>
      <c r="K106" s="9" t="b">
        <f>COUNTIF($R:$R, A106)&gt;0</f>
        <v>1</v>
      </c>
    </row>
    <row r="107" spans="1:11" ht="16">
      <c r="A107" s="17" t="s">
        <v>146</v>
      </c>
      <c r="B107" s="1" t="s">
        <v>16</v>
      </c>
      <c r="C107" s="1">
        <v>23</v>
      </c>
      <c r="D107" s="6" t="s">
        <v>30</v>
      </c>
      <c r="E107" s="1" t="s">
        <v>11</v>
      </c>
      <c r="F107" s="5" t="s">
        <v>132</v>
      </c>
      <c r="G107" s="1"/>
      <c r="H107" s="5" t="s">
        <v>14</v>
      </c>
      <c r="I107" s="2" t="b">
        <f>COUNTIF($L$2:$L$18, A107)&gt;0</f>
        <v>0</v>
      </c>
      <c r="J107" s="19" t="b">
        <f>COUNTIF($O$2:$O$95, A107)&gt;0</f>
        <v>1</v>
      </c>
      <c r="K107" s="9" t="b">
        <f>COUNTIF($R:$R, A107)&gt;0</f>
        <v>1</v>
      </c>
    </row>
    <row r="108" spans="1:11" ht="16">
      <c r="A108" s="17" t="s">
        <v>147</v>
      </c>
      <c r="B108" s="1" t="s">
        <v>9</v>
      </c>
      <c r="C108" s="1">
        <v>22</v>
      </c>
      <c r="D108" s="6" t="s">
        <v>10</v>
      </c>
      <c r="E108" s="1" t="s">
        <v>11</v>
      </c>
      <c r="F108" s="5" t="s">
        <v>112</v>
      </c>
      <c r="G108" s="1"/>
      <c r="H108" s="5" t="s">
        <v>14</v>
      </c>
      <c r="I108" s="2" t="b">
        <f>COUNTIF($L$2:$L$18, A108)&gt;0</f>
        <v>0</v>
      </c>
      <c r="J108" s="19" t="b">
        <f>COUNTIF($O$2:$O$95, A108)&gt;0</f>
        <v>1</v>
      </c>
      <c r="K108" s="9" t="b">
        <f>COUNTIF($R:$R, A108)&gt;0</f>
        <v>1</v>
      </c>
    </row>
    <row r="109" spans="1:11" ht="16">
      <c r="A109" s="17" t="s">
        <v>148</v>
      </c>
      <c r="B109" s="1" t="s">
        <v>9</v>
      </c>
      <c r="C109" s="1">
        <v>18</v>
      </c>
      <c r="D109" s="6" t="s">
        <v>10</v>
      </c>
      <c r="E109" s="1" t="s">
        <v>11</v>
      </c>
      <c r="F109" s="5" t="s">
        <v>108</v>
      </c>
      <c r="G109" s="1"/>
      <c r="H109" s="5" t="s">
        <v>14</v>
      </c>
      <c r="I109" s="2" t="b">
        <f>COUNTIF($L$2:$L$18, A109)&gt;0</f>
        <v>0</v>
      </c>
      <c r="J109" s="19" t="b">
        <f>COUNTIF($O$2:$O$95, A109)&gt;0</f>
        <v>1</v>
      </c>
      <c r="K109" s="9" t="b">
        <f>COUNTIF($R:$R, A109)&gt;0</f>
        <v>1</v>
      </c>
    </row>
    <row r="110" spans="1:11" ht="16">
      <c r="A110" s="17" t="s">
        <v>149</v>
      </c>
      <c r="B110" s="1" t="s">
        <v>9</v>
      </c>
      <c r="C110" s="1">
        <v>22</v>
      </c>
      <c r="D110" s="6" t="s">
        <v>30</v>
      </c>
      <c r="E110" s="1" t="s">
        <v>11</v>
      </c>
      <c r="F110" s="5" t="s">
        <v>112</v>
      </c>
      <c r="G110" s="1"/>
      <c r="H110" s="5" t="s">
        <v>14</v>
      </c>
      <c r="I110" s="2" t="b">
        <f>COUNTIF($L$2:$L$18, A110)&gt;0</f>
        <v>0</v>
      </c>
      <c r="J110" s="19" t="b">
        <f>COUNTIF($O$2:$O$95, A110)&gt;0</f>
        <v>1</v>
      </c>
      <c r="K110" s="9" t="b">
        <f>COUNTIF($R:$R, A110)&gt;0</f>
        <v>1</v>
      </c>
    </row>
    <row r="111" spans="1:11" ht="16">
      <c r="A111" s="17" t="s">
        <v>150</v>
      </c>
      <c r="B111" s="1" t="s">
        <v>16</v>
      </c>
      <c r="C111" s="1">
        <v>19</v>
      </c>
      <c r="D111" s="6" t="s">
        <v>10</v>
      </c>
      <c r="E111" s="1" t="s">
        <v>11</v>
      </c>
      <c r="F111" s="5" t="s">
        <v>108</v>
      </c>
      <c r="G111" s="1"/>
      <c r="H111" s="5" t="s">
        <v>14</v>
      </c>
      <c r="I111" s="2" t="b">
        <f>COUNTIF($L$2:$L$18, A111)&gt;0</f>
        <v>0</v>
      </c>
      <c r="J111" s="19" t="b">
        <f>COUNTIF($O$2:$O$95, A111)&gt;0</f>
        <v>1</v>
      </c>
      <c r="K111" s="9" t="b">
        <f>COUNTIF($R:$R, A111)&gt;0</f>
        <v>1</v>
      </c>
    </row>
    <row r="112" spans="1:11" ht="16">
      <c r="A112" s="17" t="s">
        <v>151</v>
      </c>
      <c r="B112" s="1" t="s">
        <v>16</v>
      </c>
      <c r="C112" s="1">
        <v>21</v>
      </c>
      <c r="D112" s="6" t="s">
        <v>10</v>
      </c>
      <c r="E112" s="1" t="s">
        <v>11</v>
      </c>
      <c r="F112" s="5" t="s">
        <v>108</v>
      </c>
      <c r="G112" s="1" t="s">
        <v>13</v>
      </c>
      <c r="H112" s="5" t="s">
        <v>94</v>
      </c>
      <c r="I112" s="2" t="b">
        <f>COUNTIF($L$2:$L$18, A112)&gt;0</f>
        <v>0</v>
      </c>
      <c r="J112" s="19" t="b">
        <f>COUNTIF($O$2:$O$95, A112)&gt;0</f>
        <v>1</v>
      </c>
      <c r="K112" s="9" t="b">
        <f>COUNTIF($R:$R, A112)&gt;0</f>
        <v>1</v>
      </c>
    </row>
    <row r="113" spans="1:11" ht="16">
      <c r="A113" s="17" t="s">
        <v>152</v>
      </c>
      <c r="B113" s="1" t="s">
        <v>9</v>
      </c>
      <c r="C113" s="1"/>
      <c r="D113" s="1"/>
      <c r="E113" s="1"/>
      <c r="F113" s="5"/>
      <c r="G113" s="1"/>
      <c r="H113" s="5"/>
      <c r="I113" s="2" t="b">
        <f>COUNTIF($L$2:$L$18, A113)&gt;0</f>
        <v>0</v>
      </c>
      <c r="J113" s="19" t="b">
        <f>COUNTIF($O$2:$O$95, A113)&gt;0</f>
        <v>0</v>
      </c>
      <c r="K113" s="9" t="b">
        <f>COUNTIF($R:$R, A113)&gt;0</f>
        <v>0</v>
      </c>
    </row>
    <row r="114" spans="1:11" ht="16">
      <c r="A114" s="17" t="s">
        <v>153</v>
      </c>
      <c r="B114" s="1" t="s">
        <v>16</v>
      </c>
      <c r="C114" s="1">
        <v>22</v>
      </c>
      <c r="D114" s="6" t="s">
        <v>10</v>
      </c>
      <c r="E114" s="1" t="s">
        <v>11</v>
      </c>
      <c r="F114" s="5" t="s">
        <v>132</v>
      </c>
      <c r="G114" s="1"/>
      <c r="H114" s="5" t="s">
        <v>14</v>
      </c>
      <c r="I114" s="2" t="b">
        <f>COUNTIF($L$2:$L$18, A114)&gt;0</f>
        <v>0</v>
      </c>
      <c r="J114" s="19" t="b">
        <f>COUNTIF($O$2:$O$95, A114)&gt;0</f>
        <v>1</v>
      </c>
      <c r="K114" s="9" t="b">
        <f>COUNTIF($R:$R, A114)&gt;0</f>
        <v>1</v>
      </c>
    </row>
    <row r="115" spans="1:11" ht="16">
      <c r="A115" s="17" t="s">
        <v>154</v>
      </c>
      <c r="B115" s="1" t="s">
        <v>16</v>
      </c>
      <c r="C115" s="1">
        <v>22</v>
      </c>
      <c r="D115" s="6" t="s">
        <v>10</v>
      </c>
      <c r="E115" s="1" t="s">
        <v>11</v>
      </c>
      <c r="F115" s="5" t="s">
        <v>132</v>
      </c>
      <c r="G115" s="1"/>
      <c r="H115" s="5" t="s">
        <v>14</v>
      </c>
      <c r="I115" s="2" t="b">
        <f>COUNTIF($L$2:$L$18, A115)&gt;0</f>
        <v>0</v>
      </c>
      <c r="J115" s="19" t="b">
        <f>COUNTIF($O$2:$O$95, A115)&gt;0</f>
        <v>1</v>
      </c>
      <c r="K115" s="9" t="b">
        <f>COUNTIF($R:$R, A115)&gt;0</f>
        <v>1</v>
      </c>
    </row>
    <row r="116" spans="1:11" ht="16">
      <c r="A116" s="17" t="s">
        <v>155</v>
      </c>
      <c r="B116" s="7" t="s">
        <v>9</v>
      </c>
      <c r="C116" s="1">
        <v>23</v>
      </c>
      <c r="D116" s="6" t="s">
        <v>30</v>
      </c>
      <c r="E116" s="1" t="s">
        <v>11</v>
      </c>
      <c r="F116" s="5" t="s">
        <v>112</v>
      </c>
      <c r="G116" s="1"/>
      <c r="H116" s="5" t="s">
        <v>14</v>
      </c>
      <c r="I116" s="2" t="b">
        <f>COUNTIF($L$2:$L$18, A116)&gt;0</f>
        <v>0</v>
      </c>
      <c r="J116" s="19" t="b">
        <f>COUNTIF($O$2:$O$95, A116)&gt;0</f>
        <v>1</v>
      </c>
      <c r="K116" s="9" t="b">
        <f>COUNTIF($R:$R, A116)&gt;0</f>
        <v>1</v>
      </c>
    </row>
    <row r="117" spans="1:11" ht="16">
      <c r="A117" s="17" t="s">
        <v>156</v>
      </c>
      <c r="B117" s="7" t="s">
        <v>9</v>
      </c>
      <c r="C117" s="1">
        <v>23</v>
      </c>
      <c r="D117" s="6" t="s">
        <v>30</v>
      </c>
      <c r="E117" s="1" t="s">
        <v>11</v>
      </c>
      <c r="F117" s="5" t="s">
        <v>108</v>
      </c>
      <c r="G117" s="1"/>
      <c r="H117" s="5" t="s">
        <v>14</v>
      </c>
      <c r="I117" s="2" t="b">
        <f>COUNTIF($L$2:$L$18, A117)&gt;0</f>
        <v>0</v>
      </c>
      <c r="J117" s="19" t="b">
        <f>COUNTIF($O$2:$O$95, A117)&gt;0</f>
        <v>1</v>
      </c>
      <c r="K117" s="9" t="b">
        <f>COUNTIF($R:$R, A117)&gt;0</f>
        <v>1</v>
      </c>
    </row>
    <row r="118" spans="1:11" ht="16">
      <c r="A118" s="17" t="s">
        <v>157</v>
      </c>
      <c r="B118" s="7" t="s">
        <v>9</v>
      </c>
      <c r="C118" s="1">
        <v>19</v>
      </c>
      <c r="D118" s="6" t="s">
        <v>10</v>
      </c>
      <c r="E118" s="1" t="s">
        <v>11</v>
      </c>
      <c r="F118" s="5" t="s">
        <v>112</v>
      </c>
      <c r="G118" s="1"/>
      <c r="H118" s="5" t="s">
        <v>14</v>
      </c>
      <c r="I118" s="2" t="b">
        <f>COUNTIF($L$2:$L$18, A118)&gt;0</f>
        <v>0</v>
      </c>
      <c r="J118" s="19" t="b">
        <f>COUNTIF($O$2:$O$95, A118)&gt;0</f>
        <v>1</v>
      </c>
      <c r="K118" s="9" t="b">
        <f>COUNTIF($R:$R, A118)&gt;0</f>
        <v>1</v>
      </c>
    </row>
    <row r="119" spans="1:11" ht="16">
      <c r="A119" s="17" t="s">
        <v>158</v>
      </c>
      <c r="B119" s="7" t="s">
        <v>9</v>
      </c>
      <c r="C119" s="1">
        <v>19</v>
      </c>
      <c r="D119" s="6" t="s">
        <v>10</v>
      </c>
      <c r="E119" s="1" t="s">
        <v>11</v>
      </c>
      <c r="F119" s="5" t="s">
        <v>112</v>
      </c>
      <c r="G119" s="1"/>
      <c r="H119" s="5" t="s">
        <v>14</v>
      </c>
      <c r="I119" s="2" t="b">
        <f>COUNTIF($L$2:$L$18, A119)&gt;0</f>
        <v>0</v>
      </c>
      <c r="J119" s="19" t="b">
        <f>COUNTIF($O$2:$O$95, A119)&gt;0</f>
        <v>1</v>
      </c>
      <c r="K119" s="9" t="b">
        <f>COUNTIF($R:$R, A119)&gt;0</f>
        <v>1</v>
      </c>
    </row>
    <row r="120" spans="1:11" ht="16">
      <c r="A120" s="17" t="s">
        <v>159</v>
      </c>
      <c r="B120" s="7" t="s">
        <v>9</v>
      </c>
      <c r="C120" s="1">
        <v>21</v>
      </c>
      <c r="D120" s="6" t="s">
        <v>10</v>
      </c>
      <c r="E120" s="1" t="s">
        <v>11</v>
      </c>
      <c r="F120" s="5" t="s">
        <v>108</v>
      </c>
      <c r="G120" s="1"/>
      <c r="H120" s="5" t="s">
        <v>14</v>
      </c>
      <c r="I120" s="2" t="b">
        <f>COUNTIF($L$2:$L$18, A120)&gt;0</f>
        <v>0</v>
      </c>
      <c r="J120" s="19" t="b">
        <f>COUNTIF($O$2:$O$95, A120)&gt;0</f>
        <v>1</v>
      </c>
      <c r="K120" s="9" t="b">
        <f>COUNTIF($R:$R, A120)&gt;0</f>
        <v>1</v>
      </c>
    </row>
    <row r="121" spans="1:11" ht="16">
      <c r="A121" s="17" t="s">
        <v>160</v>
      </c>
      <c r="B121" s="7" t="s">
        <v>9</v>
      </c>
      <c r="C121" s="1">
        <v>18</v>
      </c>
      <c r="D121" s="6" t="s">
        <v>10</v>
      </c>
      <c r="E121" s="1" t="s">
        <v>35</v>
      </c>
      <c r="F121" s="5" t="s">
        <v>106</v>
      </c>
      <c r="G121" s="1"/>
      <c r="H121" s="5" t="s">
        <v>94</v>
      </c>
      <c r="I121" s="2" t="b">
        <f>COUNTIF($L$2:$L$18, A121)&gt;0</f>
        <v>0</v>
      </c>
      <c r="J121" s="19" t="b">
        <f>COUNTIF($O$2:$O$95, A121)&gt;0</f>
        <v>1</v>
      </c>
      <c r="K121" s="9" t="b">
        <f>COUNTIF($R:$R, A121)&gt;0</f>
        <v>1</v>
      </c>
    </row>
    <row r="122" spans="1:11" ht="16">
      <c r="A122" s="17" t="s">
        <v>161</v>
      </c>
      <c r="B122" s="7" t="s">
        <v>9</v>
      </c>
      <c r="C122" s="1">
        <v>19</v>
      </c>
      <c r="D122" s="6" t="s">
        <v>10</v>
      </c>
      <c r="E122" s="1" t="s">
        <v>11</v>
      </c>
      <c r="F122" s="5" t="s">
        <v>112</v>
      </c>
      <c r="G122" s="1"/>
      <c r="H122" s="5" t="s">
        <v>14</v>
      </c>
      <c r="I122" s="2" t="b">
        <f>COUNTIF($L$2:$L$18, A122)&gt;0</f>
        <v>0</v>
      </c>
      <c r="J122" s="19" t="b">
        <f>COUNTIF($O$2:$O$95, A122)&gt;0</f>
        <v>1</v>
      </c>
      <c r="K122" s="9" t="b">
        <f>COUNTIF($R:$R, A122)&gt;0</f>
        <v>1</v>
      </c>
    </row>
    <row r="123" spans="1:11" ht="16">
      <c r="A123" s="17" t="s">
        <v>162</v>
      </c>
      <c r="B123" s="7" t="s">
        <v>9</v>
      </c>
      <c r="C123" s="1">
        <v>23</v>
      </c>
      <c r="D123" s="6" t="s">
        <v>10</v>
      </c>
      <c r="E123" s="1" t="s">
        <v>35</v>
      </c>
      <c r="F123" s="5" t="s">
        <v>130</v>
      </c>
      <c r="G123" s="1"/>
      <c r="H123" s="5" t="s">
        <v>14</v>
      </c>
      <c r="I123" s="2" t="b">
        <f>COUNTIF($L$2:$L$18, A123)&gt;0</f>
        <v>1</v>
      </c>
      <c r="J123" s="19" t="b">
        <f>COUNTIF($O$2:$O$95, A123)&gt;0</f>
        <v>1</v>
      </c>
      <c r="K123" s="9" t="b">
        <f>COUNTIF($R:$R, A123)&gt;0</f>
        <v>1</v>
      </c>
    </row>
    <row r="124" spans="1:11" ht="16">
      <c r="A124" s="17" t="s">
        <v>163</v>
      </c>
      <c r="B124" s="7" t="s">
        <v>9</v>
      </c>
      <c r="C124" s="1">
        <v>20</v>
      </c>
      <c r="D124" s="6" t="s">
        <v>10</v>
      </c>
      <c r="E124" s="1" t="s">
        <v>11</v>
      </c>
      <c r="F124" s="5" t="s">
        <v>108</v>
      </c>
      <c r="G124" s="1"/>
      <c r="H124" s="5" t="s">
        <v>14</v>
      </c>
      <c r="I124" s="2" t="b">
        <f>COUNTIF($L$2:$L$18, A124)&gt;0</f>
        <v>0</v>
      </c>
      <c r="J124" s="19" t="b">
        <f>COUNTIF($O$2:$O$95, A124)&gt;0</f>
        <v>1</v>
      </c>
      <c r="K124" s="9" t="b">
        <f>COUNTIF($R:$R, A124)&gt;0</f>
        <v>1</v>
      </c>
    </row>
    <row r="125" spans="1:11" ht="16">
      <c r="A125" s="17" t="s">
        <v>164</v>
      </c>
      <c r="B125" s="7" t="s">
        <v>16</v>
      </c>
      <c r="C125" s="1">
        <v>19</v>
      </c>
      <c r="D125" s="6" t="s">
        <v>30</v>
      </c>
      <c r="E125" s="1" t="s">
        <v>11</v>
      </c>
      <c r="F125" s="5" t="s">
        <v>112</v>
      </c>
      <c r="G125" s="1"/>
      <c r="H125" s="5" t="s">
        <v>14</v>
      </c>
      <c r="I125" s="2" t="b">
        <f>COUNTIF($L$2:$L$18, A125)&gt;0</f>
        <v>0</v>
      </c>
      <c r="J125" s="19" t="b">
        <f>COUNTIF($O$2:$O$95, A125)&gt;0</f>
        <v>1</v>
      </c>
      <c r="K125" s="9" t="b">
        <f>COUNTIF($R:$R, A125)&gt;0</f>
        <v>1</v>
      </c>
    </row>
    <row r="126" spans="1:11" ht="16">
      <c r="A126" s="17" t="s">
        <v>165</v>
      </c>
      <c r="B126" s="7" t="s">
        <v>9</v>
      </c>
      <c r="C126" s="1">
        <v>22</v>
      </c>
      <c r="D126" s="6" t="s">
        <v>30</v>
      </c>
      <c r="E126" s="1" t="s">
        <v>35</v>
      </c>
      <c r="F126" s="5" t="s">
        <v>132</v>
      </c>
      <c r="G126" s="1"/>
      <c r="H126" s="5" t="s">
        <v>14</v>
      </c>
      <c r="I126" s="2" t="b">
        <f>COUNTIF($L$2:$L$18, A126)&gt;0</f>
        <v>0</v>
      </c>
      <c r="J126" s="19" t="b">
        <f>COUNTIF($O$2:$O$95, A126)&gt;0</f>
        <v>1</v>
      </c>
      <c r="K126" s="9" t="b">
        <f>COUNTIF($R:$R, A126)&gt;0</f>
        <v>1</v>
      </c>
    </row>
    <row r="127" spans="1:11" ht="16">
      <c r="A127" s="17" t="s">
        <v>166</v>
      </c>
      <c r="B127" s="7" t="s">
        <v>9</v>
      </c>
      <c r="C127" s="1">
        <v>26</v>
      </c>
      <c r="D127" s="6" t="s">
        <v>30</v>
      </c>
      <c r="E127" s="1" t="s">
        <v>11</v>
      </c>
      <c r="F127" s="5" t="s">
        <v>132</v>
      </c>
      <c r="G127" s="1"/>
      <c r="H127" s="5" t="s">
        <v>14</v>
      </c>
      <c r="I127" s="2" t="b">
        <f>COUNTIF($L$2:$L$18, A127)&gt;0</f>
        <v>1</v>
      </c>
      <c r="J127" s="19" t="b">
        <f>COUNTIF($O$2:$O$95, A127)&gt;0</f>
        <v>1</v>
      </c>
      <c r="K127" s="9" t="b">
        <f>COUNTIF($R:$R, A127)&gt;0</f>
        <v>1</v>
      </c>
    </row>
    <row r="128" spans="1:11" ht="16">
      <c r="A128" s="17" t="s">
        <v>167</v>
      </c>
      <c r="B128" s="7" t="s">
        <v>9</v>
      </c>
      <c r="C128" s="1">
        <v>29</v>
      </c>
      <c r="D128" s="6" t="s">
        <v>10</v>
      </c>
      <c r="E128" s="1" t="s">
        <v>11</v>
      </c>
      <c r="F128" s="5" t="s">
        <v>130</v>
      </c>
      <c r="G128" s="1"/>
      <c r="H128" s="5" t="s">
        <v>14</v>
      </c>
      <c r="I128" s="2" t="b">
        <f>COUNTIF($L$2:$L$18, A128)&gt;0</f>
        <v>0</v>
      </c>
      <c r="J128" s="19" t="b">
        <f>COUNTIF($O$2:$O$95, A128)&gt;0</f>
        <v>1</v>
      </c>
      <c r="K128" s="9" t="b">
        <f>COUNTIF($R:$R, A128)&gt;0</f>
        <v>1</v>
      </c>
    </row>
    <row r="129" spans="1:11" ht="16">
      <c r="A129" s="17" t="s">
        <v>168</v>
      </c>
      <c r="B129" s="7" t="s">
        <v>9</v>
      </c>
      <c r="C129" s="1">
        <v>19</v>
      </c>
      <c r="D129" s="6" t="s">
        <v>30</v>
      </c>
      <c r="E129" s="1" t="s">
        <v>11</v>
      </c>
      <c r="F129" s="5" t="s">
        <v>108</v>
      </c>
      <c r="G129" s="1"/>
      <c r="H129" s="5" t="s">
        <v>14</v>
      </c>
      <c r="I129" s="2" t="b">
        <f>COUNTIF($L$2:$L$18, A129)&gt;0</f>
        <v>1</v>
      </c>
      <c r="J129" s="19" t="b">
        <f>COUNTIF($O$2:$O$95, A129)&gt;0</f>
        <v>1</v>
      </c>
      <c r="K129" s="9" t="b">
        <f>COUNTIF($R:$R, A129)&gt;0</f>
        <v>1</v>
      </c>
    </row>
    <row r="130" spans="1:11" ht="16">
      <c r="A130" s="17" t="s">
        <v>169</v>
      </c>
      <c r="B130" s="7" t="s">
        <v>9</v>
      </c>
      <c r="C130" s="1">
        <v>20</v>
      </c>
      <c r="D130" s="6" t="s">
        <v>10</v>
      </c>
      <c r="E130" s="1" t="s">
        <v>11</v>
      </c>
      <c r="F130" s="5" t="s">
        <v>112</v>
      </c>
      <c r="G130" s="1"/>
      <c r="H130" s="5" t="s">
        <v>14</v>
      </c>
      <c r="I130" s="2" t="b">
        <f>COUNTIF($L$2:$L$18, A130)&gt;0</f>
        <v>0</v>
      </c>
      <c r="J130" s="19" t="b">
        <f>COUNTIF($O$2:$O$95, A130)&gt;0</f>
        <v>1</v>
      </c>
      <c r="K130" s="9" t="b">
        <f>COUNTIF($R:$R, A130)&gt;0</f>
        <v>1</v>
      </c>
    </row>
    <row r="131" spans="1:11" ht="16">
      <c r="A131" s="17" t="s">
        <v>170</v>
      </c>
      <c r="B131" s="7" t="s">
        <v>9</v>
      </c>
      <c r="C131" s="1">
        <v>22</v>
      </c>
      <c r="D131" s="6" t="s">
        <v>30</v>
      </c>
      <c r="E131" s="1" t="s">
        <v>171</v>
      </c>
      <c r="F131" s="5" t="s">
        <v>132</v>
      </c>
      <c r="G131" s="1"/>
      <c r="H131" s="5" t="s">
        <v>14</v>
      </c>
      <c r="I131" s="2" t="b">
        <f>COUNTIF($L$2:$L$18, A131)&gt;0</f>
        <v>0</v>
      </c>
      <c r="J131" s="19" t="b">
        <f>COUNTIF($O$2:$O$95, A131)&gt;0</f>
        <v>1</v>
      </c>
      <c r="K131" s="9" t="b">
        <f>COUNTIF($R:$R, A131)&gt;0</f>
        <v>1</v>
      </c>
    </row>
    <row r="132" spans="1:11" ht="16">
      <c r="A132" s="23" t="s">
        <v>186</v>
      </c>
      <c r="B132" s="2" t="s">
        <v>16</v>
      </c>
      <c r="C132" s="2">
        <v>30</v>
      </c>
      <c r="D132" s="2" t="s">
        <v>30</v>
      </c>
      <c r="E132" s="2" t="s">
        <v>11</v>
      </c>
      <c r="F132" s="5" t="s">
        <v>130</v>
      </c>
      <c r="H132" s="5" t="s">
        <v>14</v>
      </c>
      <c r="I132" s="2" t="b">
        <f>COUNTIF($L$2:$L$19, A132)&gt;0</f>
        <v>1</v>
      </c>
      <c r="J132" s="19" t="b">
        <f>COUNTIF($O$2:$O$95, A132)&gt;0</f>
        <v>0</v>
      </c>
      <c r="K132" s="9" t="b">
        <f>COUNTIF($R:$R, A132)&gt;0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Praise Kim</dc:creator>
  <cp:lastModifiedBy>Kim, Praise</cp:lastModifiedBy>
  <dcterms:created xsi:type="dcterms:W3CDTF">2015-06-05T18:17:20Z</dcterms:created>
  <dcterms:modified xsi:type="dcterms:W3CDTF">2026-10-30T06:21:23Z</dcterms:modified>
</cp:coreProperties>
</file>